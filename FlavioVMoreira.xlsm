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lavi\OneDrive\Área de Trabalho\"/>
    </mc:Choice>
  </mc:AlternateContent>
  <xr:revisionPtr revIDLastSave="0" documentId="13_ncr:1_{CE6D696F-A1E7-4DE9-8A23-BDE4B2FF05AE}" xr6:coauthVersionLast="47" xr6:coauthVersionMax="47" xr10:uidLastSave="{00000000-0000-0000-0000-000000000000}"/>
  <bookViews>
    <workbookView xWindow="-120" yWindow="-120" windowWidth="20730" windowHeight="11760" xr2:uid="{F994A622-25EB-4468-923D-810F53B6B810}"/>
  </bookViews>
  <sheets>
    <sheet name="Sheet1" sheetId="1" r:id="rId1"/>
    <sheet name="Sheet2" sheetId="24" r:id="rId2"/>
  </sheets>
  <definedNames>
    <definedName name="DadosExternos_1" localSheetId="1" hidden="1">Sheet2!$A$1:$F$46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4" l="1"/>
  <c r="H46" i="24" s="1"/>
  <c r="G45" i="24"/>
  <c r="H45" i="24" s="1"/>
  <c r="G44" i="24"/>
  <c r="H44" i="24" s="1"/>
  <c r="G43" i="24"/>
  <c r="H43" i="24" s="1"/>
  <c r="G42" i="24"/>
  <c r="H42" i="24" s="1"/>
  <c r="G41" i="24"/>
  <c r="H41" i="24" s="1"/>
  <c r="G40" i="24"/>
  <c r="H40" i="24" s="1"/>
  <c r="G39" i="24"/>
  <c r="H39" i="24" s="1"/>
  <c r="G38" i="24"/>
  <c r="H38" i="24" s="1"/>
  <c r="G37" i="24"/>
  <c r="H37" i="24" s="1"/>
  <c r="G36" i="24"/>
  <c r="H36" i="24" s="1"/>
  <c r="G35" i="24"/>
  <c r="H35" i="24" s="1"/>
  <c r="G34" i="24"/>
  <c r="H34" i="24" s="1"/>
  <c r="G33" i="24"/>
  <c r="H33" i="24" s="1"/>
  <c r="G32" i="24"/>
  <c r="H32" i="24" s="1"/>
  <c r="G31" i="24"/>
  <c r="H31" i="24" s="1"/>
  <c r="G30" i="24"/>
  <c r="H30" i="24" s="1"/>
  <c r="G29" i="24"/>
  <c r="H29" i="24" s="1"/>
  <c r="G28" i="24"/>
  <c r="H28" i="24" s="1"/>
  <c r="G27" i="24"/>
  <c r="H27" i="24" s="1"/>
  <c r="G26" i="24"/>
  <c r="H26" i="24" s="1"/>
  <c r="G25" i="24"/>
  <c r="H25" i="24" s="1"/>
  <c r="G24" i="24"/>
  <c r="H24" i="24" s="1"/>
  <c r="G23" i="24"/>
  <c r="H23" i="24" s="1"/>
  <c r="G22" i="24"/>
  <c r="H22" i="24" s="1"/>
  <c r="G21" i="24"/>
  <c r="H21" i="24" s="1"/>
  <c r="G20" i="24"/>
  <c r="H20" i="24" s="1"/>
  <c r="G19" i="24"/>
  <c r="H19" i="24" s="1"/>
  <c r="G18" i="24"/>
  <c r="H18" i="24" s="1"/>
  <c r="G17" i="24"/>
  <c r="H17" i="24" s="1"/>
  <c r="G16" i="24"/>
  <c r="H16" i="24" s="1"/>
  <c r="G15" i="24"/>
  <c r="H15" i="24" s="1"/>
  <c r="G14" i="24"/>
  <c r="H14" i="24" s="1"/>
  <c r="G13" i="24"/>
  <c r="H13" i="24" s="1"/>
  <c r="G12" i="24"/>
  <c r="H12" i="24" s="1"/>
  <c r="G11" i="24"/>
  <c r="H11" i="24" s="1"/>
  <c r="G10" i="24"/>
  <c r="H10" i="24" s="1"/>
  <c r="G9" i="24"/>
  <c r="H9" i="24" s="1"/>
  <c r="G8" i="24"/>
  <c r="H8" i="24" s="1"/>
  <c r="G7" i="24"/>
  <c r="H7" i="24" s="1"/>
  <c r="G6" i="24"/>
  <c r="H6" i="24" s="1"/>
  <c r="G5" i="24"/>
  <c r="H5" i="24" s="1"/>
  <c r="G4" i="24"/>
  <c r="H4" i="24" s="1"/>
  <c r="G3" i="24"/>
  <c r="H3" i="24" s="1"/>
  <c r="G2" i="24"/>
  <c r="H2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E7B030-391F-4E36-AE84-DB587B32B211}" keepAlive="1" name="Conexão" type="5" refreshedVersion="8" background="1" saveData="1">
    <dbPr connection="Provider=Microsoft.Mashup.OleDb.1;Data Source=$Workbook$;Location=Turmas;Extended Properties=&quot;&quot;" command="SELECT * FROM [Turmas]"/>
  </connection>
  <connection id="2" xr16:uid="{3C719E44-91C6-44E4-85FB-BCA4BF4A3B10}" keepAlive="1" name="Conexão1" type="5" refreshedVersion="0" background="1">
    <dbPr connection="Provider=Microsoft.Mashup.OleDb.1;Data Source=$Workbook$;Location=Turmas;Extended Properties=&quot;&quot;" commandType="0"/>
  </connection>
  <connection id="3" xr16:uid="{32CE50A6-7F19-43B1-964C-89F83228AF76}" keepAlive="1" name="Conexão10" type="5" refreshedVersion="0" background="1">
    <dbPr connection="Provider=Microsoft.Mashup.OleDb.1;Data Source=$Workbook$;Location=Turmas;Extended Properties=&quot;&quot;" commandType="0"/>
  </connection>
  <connection id="4" xr16:uid="{54B53E35-DB0F-48BC-8984-F09D61267E05}" keepAlive="1" name="Conexão11" type="5" refreshedVersion="0" background="1">
    <dbPr connection="Provider=Microsoft.Mashup.OleDb.1;Data Source=$Workbook$;Location=Turmas;Extended Properties=&quot;&quot;" commandType="0"/>
  </connection>
  <connection id="5" xr16:uid="{07EBE527-8097-4B87-AAFB-E45C5E2FFFC6}" keepAlive="1" name="Conexão12" type="5" refreshedVersion="0" background="1">
    <dbPr connection="Provider=Microsoft.Mashup.OleDb.1;Data Source=$Workbook$;Location=Turmas;Extended Properties=&quot;&quot;" commandType="0"/>
  </connection>
  <connection id="6" xr16:uid="{7838FA0B-0AFC-4689-8F4B-82DF1DF8FFDA}" keepAlive="1" name="Conexão13" type="5" refreshedVersion="0" background="1">
    <dbPr connection="Provider=Microsoft.Mashup.OleDb.1;Data Source=$Workbook$;Location=Turmas;Extended Properties=&quot;&quot;" commandType="0"/>
  </connection>
  <connection id="7" xr16:uid="{2A46DBE0-B719-47C4-A688-CDE2F346F335}" keepAlive="1" name="Conexão14" type="5" refreshedVersion="0" background="1">
    <dbPr connection="Provider=Microsoft.Mashup.OleDb.1;Data Source=$Workbook$;Location=Turmas;Extended Properties=&quot;&quot;" commandType="0"/>
  </connection>
  <connection id="8" xr16:uid="{5ADB685D-3C14-4A0A-8CC6-18604C285721}" keepAlive="1" name="Conexão15" type="5" refreshedVersion="8" background="1" saveData="1">
    <dbPr connection="Provider=Microsoft.Mashup.OleDb.1;Data Source=$Workbook$;Location=Turmas;Extended Properties=&quot;&quot;" command="SELECT * FROM [Turmas]"/>
  </connection>
  <connection id="9" xr16:uid="{1287F0C1-0EFE-4F28-9759-1F3AD95E8B23}" keepAlive="1" name="Conexão16" type="5" refreshedVersion="0" background="1">
    <dbPr connection="Provider=Microsoft.Mashup.OleDb.1;Data Source=$Workbook$;Location=Turmas;Extended Properties=&quot;&quot;" commandType="0"/>
  </connection>
  <connection id="10" xr16:uid="{7E1319C4-F3A7-401B-A23C-F81A0E6DA202}" keepAlive="1" name="Conexão17" type="5" refreshedVersion="0" background="1">
    <dbPr connection="Provider=Microsoft.Mashup.OleDb.1;Data Source=$Workbook$;Location=Turmas;Extended Properties=&quot;&quot;" commandType="0"/>
  </connection>
  <connection id="11" xr16:uid="{92A63712-AB0E-4A8F-AB87-633B209313CC}" keepAlive="1" name="Conexão18" type="5" refreshedVersion="0" background="1">
    <dbPr connection="Provider=Microsoft.Mashup.OleDb.1;Data Source=$Workbook$;Location=Turmas;Extended Properties=&quot;&quot;" commandType="0"/>
  </connection>
  <connection id="12" xr16:uid="{DC87A6A3-F500-4B97-B75B-68ADC52FEC27}" keepAlive="1" name="Conexão19" type="5" refreshedVersion="0" background="1">
    <dbPr connection="Provider=Microsoft.Mashup.OleDb.1;Data Source=$Workbook$;Location=Turmas;Extended Properties=&quot;&quot;" commandType="0"/>
  </connection>
  <connection id="13" xr16:uid="{DA8548F2-D6CC-4BD9-BB64-AADCDCC21FD7}" keepAlive="1" name="Conexão2" type="5" refreshedVersion="0" background="1">
    <dbPr connection="Provider=Microsoft.Mashup.OleDb.1;Data Source=$Workbook$;Location=Turmas;Extended Properties=&quot;&quot;" commandType="0"/>
  </connection>
  <connection id="14" xr16:uid="{39878559-CEB2-435E-B320-7C07A8483E13}" keepAlive="1" name="Conexão20" type="5" refreshedVersion="0" background="1">
    <dbPr connection="Provider=Microsoft.Mashup.OleDb.1;Data Source=$Workbook$;Location=Turmas;Extended Properties=&quot;&quot;" commandType="0"/>
  </connection>
  <connection id="15" xr16:uid="{F9C5204D-9355-4AA6-991E-3B085CCC2A69}" keepAlive="1" name="Conexão21" type="5" refreshedVersion="0" background="1" saveData="1">
    <dbPr connection="Provider=Microsoft.Mashup.OleDb.1;Data Source=$Workbook$;Location=Turmas;Extended Properties=&quot;&quot;" command="SELECT * FROM [Turmas]"/>
  </connection>
  <connection id="16" xr16:uid="{F5DF5F23-D5F7-4323-B6A8-CAFEBA89FF9B}" keepAlive="1" name="Conexão22" type="5" refreshedVersion="0" background="1">
    <dbPr connection="Provider=Microsoft.Mashup.OleDb.1;Data Source=$Workbook$;Location=Turmas;Extended Properties=&quot;&quot;" commandType="0"/>
  </connection>
  <connection id="17" xr16:uid="{C3849784-8236-43A7-B825-6910F6EA3B62}" keepAlive="1" name="Conexão23" type="5" refreshedVersion="0" background="1">
    <dbPr connection="Provider=Microsoft.Mashup.OleDb.1;Data Source=$Workbook$;Location=Turmas;Extended Properties=&quot;&quot;" commandType="0"/>
  </connection>
  <connection id="18" xr16:uid="{782014BC-F231-4BC2-8E02-1C287B9E9BA0}" keepAlive="1" name="Conexão24" type="5" refreshedVersion="0" background="1">
    <dbPr connection="Provider=Microsoft.Mashup.OleDb.1;Data Source=$Workbook$;Location=Turmas;Extended Properties=&quot;&quot;" commandType="0"/>
  </connection>
  <connection id="19" xr16:uid="{3A70095B-F668-450B-BCCF-4F5B8F590560}" keepAlive="1" name="Conexão25" type="5" refreshedVersion="0" background="1">
    <dbPr connection="Provider=Microsoft.Mashup.OleDb.1;Data Source=$Workbook$;Location=Turmas;Extended Properties=&quot;&quot;" commandType="0"/>
  </connection>
  <connection id="20" xr16:uid="{BAD0DA07-1B3A-40CA-AA7C-F1881DC2FAEA}" keepAlive="1" name="Conexão26" type="5" refreshedVersion="0" background="1">
    <dbPr connection="Provider=Microsoft.Mashup.OleDb.1;Data Source=$Workbook$;Location=Turmas;Extended Properties=&quot;&quot;" commandType="0"/>
  </connection>
  <connection id="21" xr16:uid="{8E4D9AB2-8C86-4845-BFBE-A8D5D699A832}" keepAlive="1" name="Conexão27" type="5" refreshedVersion="0" background="1">
    <dbPr connection="Provider=Microsoft.Mashup.OleDb.1;Data Source=$Workbook$;Location=Turmas;Extended Properties=&quot;&quot;" commandType="0"/>
  </connection>
  <connection id="22" xr16:uid="{36E9510B-A989-47D2-A126-111F5BE10C37}" keepAlive="1" name="Conexão28" type="5" refreshedVersion="0" background="1">
    <dbPr connection="Provider=Microsoft.Mashup.OleDb.1;Data Source=$Workbook$;Location=Turmas;Extended Properties=&quot;&quot;" commandType="0"/>
  </connection>
  <connection id="23" xr16:uid="{C6A66C52-D4ED-4600-91D1-F2E27B41F6F9}" keepAlive="1" name="Conexão29" type="5" refreshedVersion="0" background="1">
    <dbPr connection="Provider=Microsoft.Mashup.OleDb.1;Data Source=$Workbook$;Location=Turmas;Extended Properties=&quot;&quot;" commandType="0"/>
  </connection>
  <connection id="24" xr16:uid="{D28010D3-3BCA-47C3-AC11-252541AB6B5B}" keepAlive="1" name="Conexão3" type="5" refreshedVersion="0" background="1">
    <dbPr connection="Provider=Microsoft.Mashup.OleDb.1;Data Source=$Workbook$;Location=Turmas;Extended Properties=&quot;&quot;" commandType="0"/>
  </connection>
  <connection id="25" xr16:uid="{EDD24C16-AB0B-45E7-8582-5F08F5A5B3B5}" keepAlive="1" name="Conexão30" type="5" refreshedVersion="0" background="1">
    <dbPr connection="Provider=Microsoft.Mashup.OleDb.1;Data Source=$Workbook$;Location=Turmas;Extended Properties=&quot;&quot;" commandType="0"/>
  </connection>
  <connection id="26" xr16:uid="{79D8F4F5-02AF-4676-B08B-0C1C38413621}" keepAlive="1" name="Conexão31" type="5" refreshedVersion="0" background="1">
    <dbPr connection="Provider=Microsoft.Mashup.OleDb.1;Data Source=$Workbook$;Location=Turmas;Extended Properties=&quot;&quot;" commandType="0"/>
  </connection>
  <connection id="27" xr16:uid="{E303D57C-C01F-4334-A7E8-B22D1D8FEF29}" keepAlive="1" name="Conexão32" type="5" refreshedVersion="0" background="1" saveData="1">
    <dbPr connection="Provider=Microsoft.Mashup.OleDb.1;Data Source=$Workbook$;Location=Turmas;Extended Properties=&quot;&quot;" command="SELECT * FROM [Turmas]"/>
  </connection>
  <connection id="28" xr16:uid="{D04EEB3A-4E79-4451-A92C-C40ADBC0AB5E}" keepAlive="1" name="Conexão33" type="5" refreshedVersion="0" background="1">
    <dbPr connection="Provider=Microsoft.Mashup.OleDb.1;Data Source=$Workbook$;Location=Turmas;Extended Properties=&quot;&quot;" commandType="0"/>
  </connection>
  <connection id="29" xr16:uid="{2B8F0EE0-ED72-4469-80C4-392315737CDB}" keepAlive="1" name="Conexão34" type="5" refreshedVersion="0" background="1">
    <dbPr connection="Provider=Microsoft.Mashup.OleDb.1;Data Source=$Workbook$;Location=Turmas;Extended Properties=&quot;&quot;" commandType="0"/>
  </connection>
  <connection id="30" xr16:uid="{6F344078-988A-447F-9952-B88BF36FD566}" keepAlive="1" name="Conexão35" type="5" refreshedVersion="0" background="1">
    <dbPr connection="Provider=Microsoft.Mashup.OleDb.1;Data Source=$Workbook$;Location=Turmas;Extended Properties=&quot;&quot;" commandType="0"/>
  </connection>
  <connection id="31" xr16:uid="{083FB053-3977-4D38-A27C-3DAAA58A4756}" keepAlive="1" name="Conexão36" type="5" refreshedVersion="0" background="1">
    <dbPr connection="Provider=Microsoft.Mashup.OleDb.1;Data Source=$Workbook$;Location=Turmas;Extended Properties=&quot;&quot;" commandType="0"/>
  </connection>
  <connection id="32" xr16:uid="{E9D196F2-76C1-45F7-A0E8-7A23059F770F}" keepAlive="1" name="Conexão37" type="5" refreshedVersion="0" background="1">
    <dbPr connection="Provider=Microsoft.Mashup.OleDb.1;Data Source=$Workbook$;Location=Turmas;Extended Properties=&quot;&quot;" commandType="0"/>
  </connection>
  <connection id="33" xr16:uid="{FAE0182F-DDEA-4987-B6FE-2DA2303D71A2}" keepAlive="1" name="Conexão38" type="5" refreshedVersion="0" background="1">
    <dbPr connection="Provider=Microsoft.Mashup.OleDb.1;Data Source=$Workbook$;Location=Turmas;Extended Properties=&quot;&quot;" commandType="0"/>
  </connection>
  <connection id="34" xr16:uid="{F5704B6A-96FD-4A2D-AA5A-B7D3A6B6B9F8}" keepAlive="1" name="Conexão39" type="5" refreshedVersion="0" background="1">
    <dbPr connection="Provider=Microsoft.Mashup.OleDb.1;Data Source=$Workbook$;Location=Turmas;Extended Properties=&quot;&quot;" commandType="0"/>
  </connection>
  <connection id="35" xr16:uid="{ADDCA3E2-0765-4DC8-87A0-DFAFEDCECBDF}" keepAlive="1" name="Conexão4" type="5" refreshedVersion="0" background="1">
    <dbPr connection="Provider=Microsoft.Mashup.OleDb.1;Data Source=$Workbook$;Location=Turmas;Extended Properties=&quot;&quot;" commandType="0"/>
  </connection>
  <connection id="36" xr16:uid="{084AF415-411C-48AC-9025-DA12F9CA9C14}" keepAlive="1" name="Conexão40" type="5" refreshedVersion="0" background="1">
    <dbPr connection="Provider=Microsoft.Mashup.OleDb.1;Data Source=$Workbook$;Location=Turmas;Extended Properties=&quot;&quot;" commandType="0"/>
  </connection>
  <connection id="37" xr16:uid="{27856AEE-E905-4F18-8B70-A90FE8EEC17C}" keepAlive="1" name="Conexão41" type="5" refreshedVersion="0" background="1">
    <dbPr connection="Provider=Microsoft.Mashup.OleDb.1;Data Source=$Workbook$;Location=Turmas;Extended Properties=&quot;&quot;" commandType="0"/>
  </connection>
  <connection id="38" xr16:uid="{A8AA811C-8C17-4E42-A890-D358FADDC6EB}" keepAlive="1" name="Conexão42" type="5" refreshedVersion="0" background="1">
    <dbPr connection="Provider=Microsoft.Mashup.OleDb.1;Data Source=$Workbook$;Location=Turmas;Extended Properties=&quot;&quot;" commandType="0"/>
  </connection>
  <connection id="39" xr16:uid="{860F6FA3-9CF2-4522-865D-47D17C9A2458}" keepAlive="1" name="Conexão43" type="5" refreshedVersion="0" background="1" saveData="1">
    <dbPr connection="Provider=Microsoft.Mashup.OleDb.1;Data Source=$Workbook$;Location=Turmas;Extended Properties=&quot;&quot;" command="SELECT * FROM [Turmas]"/>
  </connection>
  <connection id="40" xr16:uid="{8CC3AAE5-6565-4FEB-A089-04FFD6D26D50}" keepAlive="1" name="Conexão44" type="5" refreshedVersion="0" background="1">
    <dbPr connection="Provider=Microsoft.Mashup.OleDb.1;Data Source=$Workbook$;Location=Turmas;Extended Properties=&quot;&quot;" commandType="0"/>
  </connection>
  <connection id="41" xr16:uid="{225CF540-9067-4B96-AA17-6D73F03A3BDB}" keepAlive="1" name="Conexão45" type="5" refreshedVersion="0" background="1">
    <dbPr connection="Provider=Microsoft.Mashup.OleDb.1;Data Source=$Workbook$;Location=Turmas;Extended Properties=&quot;&quot;" commandType="0"/>
  </connection>
  <connection id="42" xr16:uid="{87ACBB5B-F753-4F3A-A3C1-36F74B8B8FCE}" keepAlive="1" name="Conexão46" type="5" refreshedVersion="0" background="1">
    <dbPr connection="Provider=Microsoft.Mashup.OleDb.1;Data Source=$Workbook$;Location=Turmas;Extended Properties=&quot;&quot;" commandType="0"/>
  </connection>
  <connection id="43" xr16:uid="{4C6D13F6-2AA8-4E2D-9DA3-194708D20C55}" keepAlive="1" name="Conexão47" type="5" refreshedVersion="0" background="1">
    <dbPr connection="Provider=Microsoft.Mashup.OleDb.1;Data Source=$Workbook$;Location=Turmas;Extended Properties=&quot;&quot;" commandType="0"/>
  </connection>
  <connection id="44" xr16:uid="{9FA5D4EC-6DC9-4140-9545-847348482E5B}" keepAlive="1" name="Conexão48" type="5" refreshedVersion="0" background="1">
    <dbPr connection="Provider=Microsoft.Mashup.OleDb.1;Data Source=$Workbook$;Location=Turmas;Extended Properties=&quot;&quot;" commandType="0"/>
  </connection>
  <connection id="45" xr16:uid="{D929D6E9-D006-49C2-A1D0-37AA6865020A}" keepAlive="1" name="Conexão49" type="5" refreshedVersion="0" background="1">
    <dbPr connection="Provider=Microsoft.Mashup.OleDb.1;Data Source=$Workbook$;Location=Turmas;Extended Properties=&quot;&quot;" commandType="0"/>
  </connection>
  <connection id="46" xr16:uid="{E6B06CCF-051E-4AD0-8291-CAE8EEBB764E}" keepAlive="1" name="Conexão5" type="5" refreshedVersion="0" background="1">
    <dbPr connection="Provider=Microsoft.Mashup.OleDb.1;Data Source=$Workbook$;Location=Turmas;Extended Properties=&quot;&quot;" commandType="0"/>
  </connection>
  <connection id="47" xr16:uid="{CF9EFB4A-90CE-404E-98AB-571D1F7EF04C}" keepAlive="1" name="Conexão50" type="5" refreshedVersion="0" background="1">
    <dbPr connection="Provider=Microsoft.Mashup.OleDb.1;Data Source=$Workbook$;Location=Turmas;Extended Properties=&quot;&quot;" commandType="0"/>
  </connection>
  <connection id="48" xr16:uid="{2969F52D-D50B-4EAE-B4FB-5891C7D533DF}" keepAlive="1" name="Conexão51" type="5" refreshedVersion="8" background="1" saveData="1">
    <dbPr connection="Provider=Microsoft.Mashup.OleDb.1;Data Source=$Workbook$;Location=Turmas;Extended Properties=&quot;&quot;" command="SELECT * FROM [Turmas]"/>
  </connection>
  <connection id="49" xr16:uid="{4B97E9D9-691F-4277-9A0C-369AEFBE6F86}" keepAlive="1" name="Conexão52" type="5" refreshedVersion="0" background="1">
    <dbPr connection="Provider=Microsoft.Mashup.OleDb.1;Data Source=$Workbook$;Location=Turmas;Extended Properties=&quot;&quot;" commandType="0"/>
  </connection>
  <connection id="50" xr16:uid="{6A8E9A15-A58B-4002-8F2F-FB04239E8587}" keepAlive="1" name="Conexão53" type="5" refreshedVersion="0" background="1">
    <dbPr connection="Provider=Microsoft.Mashup.OleDb.1;Data Source=$Workbook$;Location=Turmas;Extended Properties=&quot;&quot;" commandType="0"/>
  </connection>
  <connection id="51" xr16:uid="{B953B6F2-B080-4BCF-A72B-1D2D9EE14B98}" keepAlive="1" name="Conexão54" type="5" refreshedVersion="0" background="1">
    <dbPr connection="Provider=Microsoft.Mashup.OleDb.1;Data Source=$Workbook$;Location=Turmas;Extended Properties=&quot;&quot;" commandType="0"/>
  </connection>
  <connection id="52" xr16:uid="{EDB3F6F3-FAB4-4C0C-9D71-1C9D3C7EF1CB}" keepAlive="1" name="Conexão55" type="5" refreshedVersion="0" background="1">
    <dbPr connection="Provider=Microsoft.Mashup.OleDb.1;Data Source=$Workbook$;Location=Turmas;Extended Properties=&quot;&quot;" commandType="0"/>
  </connection>
  <connection id="53" xr16:uid="{4C2AEAAB-70BB-400A-8794-7FB6DA3B4F62}" keepAlive="1" name="Conexão56" type="5" refreshedVersion="0" background="1">
    <dbPr connection="Provider=Microsoft.Mashup.OleDb.1;Data Source=$Workbook$;Location=Turmas;Extended Properties=&quot;&quot;" commandType="0"/>
  </connection>
  <connection id="54" xr16:uid="{3E6C87E2-D675-42F4-930C-DDD39833BDBF}" keepAlive="1" name="Conexão57" type="5" refreshedVersion="0" background="1">
    <dbPr connection="Provider=Microsoft.Mashup.OleDb.1;Data Source=$Workbook$;Location=Turmas;Extended Properties=&quot;&quot;" commandType="0"/>
  </connection>
  <connection id="55" xr16:uid="{B32EE524-0C0F-4553-B414-2DDEC37FB30B}" keepAlive="1" name="Conexão58" type="5" refreshedVersion="0" background="1">
    <dbPr connection="Provider=Microsoft.Mashup.OleDb.1;Data Source=$Workbook$;Location=Turmas;Extended Properties=&quot;&quot;" commandType="0"/>
  </connection>
  <connection id="56" xr16:uid="{242867A9-4912-41EB-BB92-06AE02BE309D}" keepAlive="1" name="Conexão59" type="5" refreshedVersion="0" background="1">
    <dbPr connection="Provider=Microsoft.Mashup.OleDb.1;Data Source=$Workbook$;Location=Turmas;Extended Properties=&quot;&quot;" commandType="0"/>
  </connection>
  <connection id="57" xr16:uid="{54627042-8DA1-4266-99A9-05243D1BB66D}" keepAlive="1" name="Conexão6" type="5" refreshedVersion="0" background="1">
    <dbPr connection="Provider=Microsoft.Mashup.OleDb.1;Data Source=$Workbook$;Location=Turmas;Extended Properties=&quot;&quot;" commandType="0"/>
  </connection>
  <connection id="58" xr16:uid="{C8313944-1B71-4F72-878F-D8A21A3D6C20}" keepAlive="1" name="Conexão60" type="5" refreshedVersion="0" background="1">
    <dbPr connection="Provider=Microsoft.Mashup.OleDb.1;Data Source=$Workbook$;Location=Turmas;Extended Properties=&quot;&quot;" commandType="0"/>
  </connection>
  <connection id="59" xr16:uid="{BC9B679B-5ADF-4A2C-9167-E8A52194DA82}" keepAlive="1" name="Conexão61" type="5" refreshedVersion="8" background="1" saveData="1">
    <dbPr connection="Provider=Microsoft.Mashup.OleDb.1;Data Source=$Workbook$;Location=Turmas;Extended Properties=&quot;&quot;" command="SELECT * FROM [Turmas]"/>
  </connection>
  <connection id="60" xr16:uid="{1920D120-DE41-49A8-9FFB-E604D0AB9154}" keepAlive="1" name="Conexão7" type="5" refreshedVersion="0" background="1">
    <dbPr connection="Provider=Microsoft.Mashup.OleDb.1;Data Source=$Workbook$;Location=Turmas;Extended Properties=&quot;&quot;" commandType="0"/>
  </connection>
  <connection id="61" xr16:uid="{402C21F8-E5E0-4EF6-B74C-D98C707DE871}" keepAlive="1" name="Conexão8" type="5" refreshedVersion="0" background="1">
    <dbPr connection="Provider=Microsoft.Mashup.OleDb.1;Data Source=$Workbook$;Location=Turmas;Extended Properties=&quot;&quot;" commandType="0"/>
  </connection>
  <connection id="62" xr16:uid="{E895D116-E6CB-48AD-BA0E-CA28935B1676}" keepAlive="1" name="Conexão9" type="5" refreshedVersion="0" background="1">
    <dbPr connection="Provider=Microsoft.Mashup.OleDb.1;Data Source=$Workbook$;Location=Turmas;Extended Properties=&quot;&quot;" commandType="0"/>
  </connection>
  <connection id="63" xr16:uid="{5C8631D9-3B37-45FB-BBAE-75853AC6B186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64" xr16:uid="{436073BA-FE44-4759-894C-9AEA778D2774}" name="Consulta - Arquivo de Amostra1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65" xr16:uid="{142A9744-6DF8-4F8D-8961-1D90CF232B9D}" name="Consulta - Arquivo de Amostra10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66" xr16:uid="{0E1A8F16-C654-46D1-85B4-893386C60241}" name="Consulta - Arquivo de Amostra11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67" xr16:uid="{42191A92-6A47-4AD5-9B07-997241FF62A3}" name="Consulta - Arquivo de Amostra12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68" xr16:uid="{5D6CA129-739E-4A5A-B4A4-868755A730E8}" name="Consulta - Arquivo de Amostra13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69" xr16:uid="{9D4F04A8-23D4-4A2E-8029-0575E548590E}" name="Consulta - Arquivo de Amostra14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0" xr16:uid="{25A75031-F3BE-454E-B0D1-B54FBB0F5B8E}" name="Consulta - Arquivo de Amostra15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1" xr16:uid="{A91101E7-9984-4D9F-AEBE-A50D778B5C03}" name="Consulta - Arquivo de Amostra16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2" xr16:uid="{5EEBCD4A-2467-401E-9404-315109849A31}" name="Consulta - Arquivo de Amostra17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3" xr16:uid="{63F11B42-24A4-463E-9D03-BF86B7565BE7}" name="Consulta - Arquivo de Amostra18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4" xr16:uid="{9F0632D2-2587-4528-A4B0-409C4BC04C24}" name="Consulta - Arquivo de Amostra19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5" xr16:uid="{96FD88F4-B34E-4AC9-9433-CB6C9ED06B53}" name="Consulta - Arquivo de Amostra2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6" xr16:uid="{B57AC9F9-1E9F-474F-BDAB-744837E02D07}" name="Consulta - Arquivo de Amostra20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7" xr16:uid="{F51D49D3-0913-4D67-976A-1363C7C11B8C}" name="Consulta - Arquivo de Amostra21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8" xr16:uid="{9684D75E-F76C-4F71-886D-96FCDE9BA0F5}" name="Consulta - Arquivo de Amostra3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79" xr16:uid="{9774E4EC-2FA3-472A-B2F0-6EE2DF0BB2BA}" name="Consulta - Arquivo de Amostra4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80" xr16:uid="{6D454399-5C0E-43D1-B091-8EE119EA691C}" name="Consulta - Arquivo de Amostra5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81" xr16:uid="{727C5655-DA54-482A-9016-D1F56820D641}" name="Consulta - Arquivo de Amostra6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82" xr16:uid="{4FFDFAF0-D015-44BC-85D8-3CADC628E774}" name="Consulta - Arquivo de Amostra7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83" xr16:uid="{DE16DF51-4B49-4F75-8711-9A6E4DE37ABF}" name="Consulta - Arquivo de Amostra8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84" xr16:uid="{1CA91C10-5BA7-4A6A-B975-7DCB367CD86E}" name="Consulta - Arquivo de Amostra9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85" xr16:uid="{FE383E6F-93A5-4B42-99C0-7449795151C1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86" xr16:uid="{FBAD05FB-BDBD-4AA0-A94D-362CFB220834}" name="Consulta - Parâmetro1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87" xr16:uid="{1DC6A47E-49C3-417B-9BEA-AFBB330C27E3}" name="Consulta - Parâmetro110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88" xr16:uid="{DE3B4576-E408-416A-8183-0FAA21391B1B}" name="Consulta - Parâmetro11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89" xr16:uid="{D0D83883-13EC-46D5-B02D-1B154C683AA6}" name="Consulta - Parâmetro112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0" xr16:uid="{CEF424A3-57E7-4939-85BE-34A6C5CBEF29}" name="Consulta - Parâmetro113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1" xr16:uid="{BE7CC760-0098-40B0-8754-4AD54789F899}" name="Consulta - Parâmetro114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2" xr16:uid="{ADF8CAB3-1957-47EA-9DF2-DA3BE2B65E55}" name="Consulta - Parâmetro115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3" xr16:uid="{04C9BC08-5F9D-4065-9A12-E212C3FF5529}" name="Consulta - Parâmetro116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4" xr16:uid="{6437AE2D-453C-409A-9D26-AC36B3F27387}" name="Consulta - Parâmetro117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5" xr16:uid="{83BF3009-CFE6-4AB4-9238-EF7AB376FAEF}" name="Consulta - Parâmetro118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6" xr16:uid="{C6FFE5E8-DB38-4AA4-BD40-DE81A92F989B}" name="Consulta - Parâmetro119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7" xr16:uid="{BB01C5F4-3CEC-4A0F-8B6E-3EB49BBFAD37}" name="Consulta - Parâmetro12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8" xr16:uid="{464DCBFB-8ACC-4F3F-8BC4-56F3AE6704DE}" name="Consulta - Parâmetro120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99" xr16:uid="{10886AFF-A0CA-42B3-82EB-05F9CBEA51E1}" name="Consulta - Parâmetro12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0" xr16:uid="{99ACE216-555F-43EE-ACA5-B60B8E8D82B6}" name="Consulta - Parâmetro122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1" xr16:uid="{09306A10-911A-4C1E-ACE4-83D197A6C4C0}" name="Consulta - Parâmetro13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2" xr16:uid="{6E95764A-6134-46DF-A85D-F95F114698A5}" name="Consulta - Parâmetro14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3" xr16:uid="{181C8676-3169-4D70-B306-55271F0A527B}" name="Consulta - Parâmetro15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4" xr16:uid="{E042993D-9F85-4783-9DE8-2DC1325AC096}" name="Consulta - Parâmetro16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5" xr16:uid="{DCB007AD-3500-4747-AB4F-E656F6C1130E}" name="Consulta - Parâmetro17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6" xr16:uid="{88796709-AB88-4F17-AE60-2600B8693F77}" name="Consulta - Parâmetro18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7" xr16:uid="{3E302E84-4DEE-4443-91F3-A0255832CEEC}" name="Consulta - Parâmetro19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08" xr16:uid="{83B7D4A4-205B-471F-91ED-E6C33183FC5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09" xr16:uid="{199C46DD-F280-458B-AF04-1AABA1BBBD21}" name="Consulta - Transformar Arquivo1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0" xr16:uid="{F635ED36-C67D-4938-BA7F-97699B129743}" name="Consulta - Transformar Arquivo10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1" xr16:uid="{EF34C6FF-2B47-451A-AED5-7056AA49C81C}" name="Consulta - Transformar Arquivo11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2" xr16:uid="{1067BA4A-7879-4F68-B2A7-1264934BB8C6}" name="Consulta - Transformar Arquivo12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3" xr16:uid="{3E38DB88-3945-4653-AF21-351EBDA062EC}" name="Consulta - Transformar Arquivo13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4" xr16:uid="{33FEDE1A-0093-43F4-86E6-CEF57228FA28}" name="Consulta - Transformar Arquivo14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5" xr16:uid="{1880B8F4-3945-4D1A-9FCB-7DD0E9F25452}" name="Consulta - Transformar Arquivo15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6" xr16:uid="{530771A1-03C3-4959-852E-4590CEC2AA3E}" name="Consulta - Transformar Arquivo16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7" xr16:uid="{9E218C97-4C08-4733-ABE6-1F1CAF83826A}" name="Consulta - Transformar Arquivo17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8" xr16:uid="{37740DF8-3C69-461C-B182-DB6C9FB0FBBD}" name="Consulta - Transformar Arquivo18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9" xr16:uid="{6A5AD43A-CC61-4E9D-AA08-734C0643CD4F}" name="Consulta - Transformar Arquivo19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0" xr16:uid="{65BED1F7-70A8-47C6-87E3-C02FA916C68F}" name="Consulta - Transformar Arquivo2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1" xr16:uid="{039EC8E5-1933-42DA-B658-515E98D351A9}" name="Consulta - Transformar Arquivo20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2" xr16:uid="{921C24F8-D6AA-4F84-9C2F-477D5197ECC6}" name="Consulta - Transformar Arquivo3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3" xr16:uid="{C158D130-778B-475C-A2C6-63DAB65124CF}" name="Consulta - Transformar Arquivo4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4" xr16:uid="{B4242219-6A36-49D8-A5B2-228781606675}" name="Consulta - Transformar Arquivo5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5" xr16:uid="{545A8765-C0C1-4E18-9F24-372578657773}" name="Consulta - Transformar Arquivo6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6" xr16:uid="{3EE8BAEF-E600-4A2D-BDF8-8F700A08B176}" name="Consulta - Transformar Arquivo7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7" xr16:uid="{16C0A799-3C60-4E72-B5E4-439CACD9F93D}" name="Consulta - Transformar Arquivo8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8" xr16:uid="{E811E2E2-0A85-4748-A534-7C54ADE50735}" name="Consulta - Transformar Arquivo9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29" xr16:uid="{BD293E04-5F63-44C8-9E98-4EE12AC4375B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0" xr16:uid="{3BAC1300-0F32-4AC6-8918-F34796207A6D}" name="Consulta - Transformar o Arquivo de Exemplo1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1" xr16:uid="{CA9F383A-C3FE-4DCB-BE86-0AEC348C60F1}" name="Consulta - Transformar o Arquivo de Exemplo10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2" xr16:uid="{3E247404-74FD-4423-92F3-DECC2C11B7FD}" name="Consulta - Transformar o Arquivo de Exemplo11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3" xr16:uid="{54452426-05A2-4C97-8551-D33001CFA75C}" name="Consulta - Transformar o Arquivo de Exemplo12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4" xr16:uid="{A9A38C99-B705-4B2E-80C2-ACB728A0E90C}" name="Consulta - Transformar o Arquivo de Exemplo13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5" xr16:uid="{93ABEADE-450E-40CF-AFDD-C5CB4F483C2C}" name="Consulta - Transformar o Arquivo de Exemplo14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6" xr16:uid="{1878AE6F-C01D-47CC-BED9-12394713DB94}" name="Consulta - Transformar o Arquivo de Exemplo15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7" xr16:uid="{F50F6ED7-E1E9-480A-BECB-C85791C3F19C}" name="Consulta - Transformar o Arquivo de Exemplo16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8" xr16:uid="{DD5924CF-DB78-415B-8C91-3DA3095894D1}" name="Consulta - Transformar o Arquivo de Exemplo17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39" xr16:uid="{35A97871-9A59-4BAB-A13F-3079B2BBC897}" name="Consulta - Transformar o Arquivo de Exemplo18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0" xr16:uid="{4BCE58CA-84CA-4039-B62F-4F4CF45A7659}" name="Consulta - Transformar o Arquivo de Exemplo19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1" xr16:uid="{CDBB04F2-5028-478C-9DDE-D40E452B9E42}" name="Consulta - Transformar o Arquivo de Exemplo2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2" xr16:uid="{AAF003EA-2CCA-4024-8EE5-72152A92CB29}" name="Consulta - Transformar o Arquivo de Exemplo20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3" xr16:uid="{D782990E-B7A5-469C-99E9-19DB6ABB018F}" name="Consulta - Transformar o Arquivo de Exemplo21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4" xr16:uid="{949BCC16-248C-4ACD-97D1-2378F9A14FB7}" name="Consulta - Transformar o Arquivo de Exemplo3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5" xr16:uid="{55179A7F-F774-4C04-AC0D-8A6954F9AE36}" name="Consulta - Transformar o Arquivo de Exemplo4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6" xr16:uid="{F4B980B4-E781-445A-AC0D-FF67CEAC5F86}" name="Consulta - Transformar o Arquivo de Exemplo5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7" xr16:uid="{FB0E30CC-5DCF-4F9C-AC14-971DEC96FD7D}" name="Consulta - Transformar o Arquivo de Exemplo6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8" xr16:uid="{DF2DCE20-A517-43B5-9C0E-CCE3BA4F420F}" name="Consulta - Transformar o Arquivo de Exemplo7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9" xr16:uid="{ED773899-A6EE-4932-86A2-BC46C138070C}" name="Consulta - Transformar o Arquivo de Exemplo8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50" xr16:uid="{76B8F713-5469-4D19-8B18-6CADFF7FC702}" name="Consulta - Transformar o Arquivo de Exemplo9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51" xr16:uid="{287597DA-3F81-40DD-BFC4-5CB04F77CBB4}" keepAlive="1" name="Consulta - Turmas" description="Conexão com a consulta 'Turmas' na pasta de trabalho." type="5" refreshedVersion="8" background="1">
    <dbPr connection="Provider=Microsoft.Mashup.OleDb.1;Data Source=$Workbook$;Location=Turmas;Extended Properties=&quot;&quot;" command="SELECT * FROM [Turmas]"/>
  </connection>
  <connection id="152" xr16:uid="{C76A8F63-CD69-49D6-8713-59222E30EEF6}" keepAlive="1" name="Consulta - Turmas (2)" description="Conexão com a consulta 'Turmas (2)' na pasta de trabalho." type="5" refreshedVersion="8" background="1">
    <dbPr connection="Provider=Microsoft.Mashup.OleDb.1;Data Source=$Workbook$;Location=&quot;Turmas (2)&quot;;Extended Properties=&quot;&quot;" command="SELECT * FROM [Turmas (2)]"/>
  </connection>
</connections>
</file>

<file path=xl/sharedStrings.xml><?xml version="1.0" encoding="utf-8"?>
<sst xmlns="http://schemas.openxmlformats.org/spreadsheetml/2006/main" count="113" uniqueCount="113">
  <si>
    <t>ID</t>
  </si>
  <si>
    <t>Aluno</t>
  </si>
  <si>
    <t>01BIM</t>
  </si>
  <si>
    <t>02BIM</t>
  </si>
  <si>
    <t>03BIM</t>
  </si>
  <si>
    <t>04BIM</t>
  </si>
  <si>
    <t>TAA1</t>
  </si>
  <si>
    <t>Ana Beatriz da Cunha</t>
  </si>
  <si>
    <t>TAA2</t>
  </si>
  <si>
    <t>Clara Barbosa</t>
  </si>
  <si>
    <t>TAA3</t>
  </si>
  <si>
    <t>Daniel da Mata</t>
  </si>
  <si>
    <t>TAA4</t>
  </si>
  <si>
    <t>Davi Lucca Alves</t>
  </si>
  <si>
    <t>TAA5</t>
  </si>
  <si>
    <t>Joana da Cunha</t>
  </si>
  <si>
    <t>TAA6</t>
  </si>
  <si>
    <t>João Guilherme Nascimento</t>
  </si>
  <si>
    <t>TAA7</t>
  </si>
  <si>
    <t>Maria Campos</t>
  </si>
  <si>
    <t>TAA8</t>
  </si>
  <si>
    <t>Nicolas Ribeiro</t>
  </si>
  <si>
    <t>TAA9</t>
  </si>
  <si>
    <t>Pietra Gomes</t>
  </si>
  <si>
    <t>TAA10</t>
  </si>
  <si>
    <t>Stella Cavalcanti</t>
  </si>
  <si>
    <t>TBA1</t>
  </si>
  <si>
    <t>Alana Vieira</t>
  </si>
  <si>
    <t>TBA2</t>
  </si>
  <si>
    <t>Ana Laura Castro</t>
  </si>
  <si>
    <t>TBA3</t>
  </si>
  <si>
    <t>Brenda da Cunha</t>
  </si>
  <si>
    <t>TBA4</t>
  </si>
  <si>
    <t>Carlos Eduardo Azevedo</t>
  </si>
  <si>
    <t>TBA5</t>
  </si>
  <si>
    <t>Cecília Souza</t>
  </si>
  <si>
    <t>TBA6</t>
  </si>
  <si>
    <t>Daniel Farias</t>
  </si>
  <si>
    <t>TBA7</t>
  </si>
  <si>
    <t>Joaquim da Rocha</t>
  </si>
  <si>
    <t>TBA8</t>
  </si>
  <si>
    <t>Levi Pereira</t>
  </si>
  <si>
    <t>TBA9</t>
  </si>
  <si>
    <t>Lorenzo da Cunha</t>
  </si>
  <si>
    <t>TBA10</t>
  </si>
  <si>
    <t>Lucas Gomes</t>
  </si>
  <si>
    <t>TBA11</t>
  </si>
  <si>
    <t>Luiz Gustavo da Cunha</t>
  </si>
  <si>
    <t>TBA12</t>
  </si>
  <si>
    <t>Miguel Oliveira</t>
  </si>
  <si>
    <t>TBA13</t>
  </si>
  <si>
    <t>Nicole Moura</t>
  </si>
  <si>
    <t>TBA14</t>
  </si>
  <si>
    <t>Otávio Ferreira</t>
  </si>
  <si>
    <t>TBA15</t>
  </si>
  <si>
    <t>Rebeca Santos</t>
  </si>
  <si>
    <t>TCA1</t>
  </si>
  <si>
    <t>Ana Clara Mendes</t>
  </si>
  <si>
    <t>TCA2</t>
  </si>
  <si>
    <t>Ana Clara Pereira</t>
  </si>
  <si>
    <t>TCA3</t>
  </si>
  <si>
    <t>Ana Laura da Rosa</t>
  </si>
  <si>
    <t>TCA4</t>
  </si>
  <si>
    <t>Ana Luiza da Luz</t>
  </si>
  <si>
    <t>TCA5</t>
  </si>
  <si>
    <t>Brenda Oliveira</t>
  </si>
  <si>
    <t>TCA6</t>
  </si>
  <si>
    <t>Daniela Pereira</t>
  </si>
  <si>
    <t>TCA7</t>
  </si>
  <si>
    <t>Davi Lucas Dias</t>
  </si>
  <si>
    <t>TCA8</t>
  </si>
  <si>
    <t>Esther Barros</t>
  </si>
  <si>
    <t>TCA9</t>
  </si>
  <si>
    <t>Guilherme Duarte</t>
  </si>
  <si>
    <t>TCA10</t>
  </si>
  <si>
    <t>Guilherme Rezende</t>
  </si>
  <si>
    <t>TCA11</t>
  </si>
  <si>
    <t>Isaac Martins</t>
  </si>
  <si>
    <t>TCA12</t>
  </si>
  <si>
    <t>João Pedro Farias</t>
  </si>
  <si>
    <t>TCA13</t>
  </si>
  <si>
    <t>Lorenzo Costela</t>
  </si>
  <si>
    <t>TCA14</t>
  </si>
  <si>
    <t>Lucas Gabriel Campos</t>
  </si>
  <si>
    <t>TCA15</t>
  </si>
  <si>
    <t>Luiz Miguel da Rosa</t>
  </si>
  <si>
    <t>TCA16</t>
  </si>
  <si>
    <t>Maria Clara da Mata</t>
  </si>
  <si>
    <t>TCA17</t>
  </si>
  <si>
    <t>Paulo Campos</t>
  </si>
  <si>
    <t>TCA18</t>
  </si>
  <si>
    <t>Pedro Henrique Nunes</t>
  </si>
  <si>
    <t>TCA19</t>
  </si>
  <si>
    <t>Renan Oliveira</t>
  </si>
  <si>
    <t>TCA20</t>
  </si>
  <si>
    <t>Vitor Barbosa</t>
  </si>
  <si>
    <t>MEDIA</t>
  </si>
  <si>
    <t>STATUS</t>
  </si>
  <si>
    <t>Flavio Vinicius Moreira</t>
  </si>
  <si>
    <t>Teste de Macro e VBA para Analista MIS</t>
  </si>
  <si>
    <t>Clique em "Deletar base de dados antiga"</t>
  </si>
  <si>
    <t>Clique em "Gerar base de dados"</t>
  </si>
  <si>
    <t>Considerações</t>
  </si>
  <si>
    <t>3.As planilhas contendo os dados devem permanecer juntas na mesma pasta, podendo dividir espaço com outros arquivos</t>
  </si>
  <si>
    <t>4.Caso desejem testar o macro de montagem da planilha, só é necessário seguir os seguintes passos:</t>
  </si>
  <si>
    <t>Passo 1:</t>
  </si>
  <si>
    <t>Passo 2:</t>
  </si>
  <si>
    <t>Passo 3:</t>
  </si>
  <si>
    <t>Disponível para quaisquer dúvidas e sugestões: (11)94016-1887 / flaviomoreira@alumni.usp.br</t>
  </si>
  <si>
    <t>C:\Users\flavi\OneDrive\Área de Trabalho\CarminhoTeste</t>
  </si>
  <si>
    <r>
      <t xml:space="preserve">Clique em "Definir caminho dos arquivos" e digite, ou cole o caminho da pasta contendo os arquivos </t>
    </r>
    <r>
      <rPr>
        <b/>
        <sz val="11"/>
        <color theme="1"/>
        <rFont val="Calibri"/>
        <family val="2"/>
        <scheme val="minor"/>
      </rPr>
      <t>TurmaA.xlsx; TurmaB.xlsx e TurmaC.xlsx</t>
    </r>
  </si>
  <si>
    <r>
      <t>1.Favor não alterar o nome desta planilha (</t>
    </r>
    <r>
      <rPr>
        <b/>
        <sz val="11"/>
        <color theme="1"/>
        <rFont val="Calibri"/>
        <family val="2"/>
        <scheme val="minor"/>
      </rPr>
      <t>FlavioVMoreira.xlsx</t>
    </r>
    <r>
      <rPr>
        <sz val="11"/>
        <color theme="1"/>
        <rFont val="Calibri"/>
        <family val="2"/>
        <scheme val="minor"/>
      </rPr>
      <t>)</t>
    </r>
  </si>
  <si>
    <r>
      <t xml:space="preserve">2.As planilhas contendo os dados das turmas, estão nomeadas conforme solicitado </t>
    </r>
    <r>
      <rPr>
        <b/>
        <sz val="11"/>
        <color theme="1"/>
        <rFont val="Calibri"/>
        <family val="2"/>
        <scheme val="minor"/>
      </rPr>
      <t>(TurmaA.xlsx; TurmaB.xlsx e TurmaC.xlsx)</t>
    </r>
    <r>
      <rPr>
        <sz val="11"/>
        <color theme="1"/>
        <rFont val="Calibri"/>
        <family val="2"/>
        <scheme val="minor"/>
      </rPr>
      <t>, a alteração pode acarretar em problemas no funcionamento deste arquivo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</si>
</sst>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10</xdr:row>
          <xdr:rowOff>85726</xdr:rowOff>
        </xdr:from>
        <xdr:to>
          <xdr:col>8</xdr:col>
          <xdr:colOff>447675</xdr:colOff>
          <xdr:row>20</xdr:row>
          <xdr:rowOff>9526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base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85725</xdr:rowOff>
        </xdr:from>
        <xdr:to>
          <xdr:col>5</xdr:col>
          <xdr:colOff>514350</xdr:colOff>
          <xdr:row>20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Deletar base de dados antiga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142876</xdr:colOff>
          <xdr:row>10</xdr:row>
          <xdr:rowOff>85725</xdr:rowOff>
        </xdr:from>
        <xdr:to>
          <xdr:col>2</xdr:col>
          <xdr:colOff>581026</xdr:colOff>
          <xdr:row>20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Definir caminho dos arquivos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9" xr16:uid="{8B4613D3-EEF2-4B55-9E12-A30663BC83FB}" autoFormatId="16" applyNumberFormats="0" applyBorderFormats="0" applyFontFormats="1" applyPatternFormats="1" applyAlignmentFormats="0" applyWidthHeightFormats="0">
  <queryTableRefresh nextId="9" unboundColumnsRight="2">
    <queryTableFields count="8">
      <queryTableField id="1" name="ID" tableColumnId="7"/>
      <queryTableField id="2" name="Aluno" tableColumnId="8"/>
      <queryTableField id="3" name="01BIM" tableColumnId="9"/>
      <queryTableField id="4" name="02BIM" tableColumnId="10"/>
      <queryTableField id="5" name="03BIM" tableColumnId="11"/>
      <queryTableField id="6" name="04BIM" tableColumnId="12"/>
      <queryTableField id="7" dataBound="0" tableColumnId="13"/>
      <queryTableField id="8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3570F17-9D9F-46DE-BF2E-DE0FE2D5B1F7}" name="Turmas" displayName="Turmas" ref="A1:H46" tableType="queryTable" totalsRowShown="0" headerRowDxfId="1" dataDxfId="0">
  <autoFilter ref="A1:H46" xr:uid="{73570F17-9D9F-46DE-BF2E-DE0FE2D5B1F7}"/>
  <tableColumns count="8">
    <tableColumn id="7" xr3:uid="{4DBA82C3-0A06-46CA-8326-8448E7B2E6AB}" uniqueName="7" name="ID" queryTableFieldId="1" dataDxfId="9"/>
    <tableColumn id="8" xr3:uid="{4C54194C-938F-4D44-BD19-BCCF46C0F549}" uniqueName="8" name="Aluno" queryTableFieldId="2" dataDxfId="8"/>
    <tableColumn id="9" xr3:uid="{EFABEC7C-83E2-4B01-8F70-12D85736AED1}" uniqueName="9" name="01BIM" queryTableFieldId="3" dataDxfId="7"/>
    <tableColumn id="10" xr3:uid="{B9BB2F2A-B6F3-48B7-8AE1-1AFDEB91272F}" uniqueName="10" name="02BIM" queryTableFieldId="4" dataDxfId="6"/>
    <tableColumn id="11" xr3:uid="{A644CA23-C742-462D-984D-3F975EA8A110}" uniqueName="11" name="03BIM" queryTableFieldId="5" dataDxfId="5"/>
    <tableColumn id="12" xr3:uid="{98A92452-660E-4C54-8B9A-26EA8DF495B9}" uniqueName="12" name="04BIM" queryTableFieldId="6" dataDxfId="4"/>
    <tableColumn id="13" xr3:uid="{577A5C7F-D745-4649-B364-E83C984B3426}" uniqueName="13" name="MEDIA" queryTableFieldId="7" dataDxfId="3">
      <calculatedColumnFormula>AVERAGE(Turmas[[#This Row],[01BIM]:[04BIM]])</calculatedColumnFormula>
    </tableColumn>
    <tableColumn id="14" xr3:uid="{151B1A33-403F-4B8E-A0AC-4C93F7DE19C6}" uniqueName="14" name="STATUS" queryTableFieldId="8" dataDxfId="2">
      <calculatedColumnFormula>IF(Turmas[[#This Row],[MEDIA]]&lt;7,"REPROVADO","PASSOU")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E74F7-F666-4626-A047-4B91D12B5326}">
  <sheetPr codeName="Planilha1"/>
  <dimension ref="A1:T22"/>
  <sheetViews>
    <sheetView showGridLines="0" tabSelected="1" workbookViewId="0">
      <selection activeCell="J10" sqref="J10"/>
    </sheetView>
  </sheetViews>
  <sheetFormatPr defaultRowHeight="15" x14ac:dyDescent="0.25"/>
  <cols>
    <col min="16" max="16" width="9.140625" customWidth="1"/>
  </cols>
  <sheetData>
    <row r="1" spans="1:20" x14ac:dyDescent="0.25">
      <c r="A1" s="8" t="s">
        <v>98</v>
      </c>
    </row>
    <row r="2" spans="1:20" x14ac:dyDescent="0.25">
      <c r="A2" s="8" t="s">
        <v>99</v>
      </c>
    </row>
    <row r="3" spans="1:20" x14ac:dyDescent="0.25">
      <c r="A3" s="4" t="s">
        <v>102</v>
      </c>
    </row>
    <row r="4" spans="1:20" x14ac:dyDescent="0.25">
      <c r="A4" s="1" t="s">
        <v>111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20" x14ac:dyDescent="0.25">
      <c r="A5" s="1" t="s">
        <v>112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x14ac:dyDescent="0.25">
      <c r="A6" s="1" t="s">
        <v>103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20" x14ac:dyDescent="0.25">
      <c r="A7" s="1" t="s">
        <v>104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20" x14ac:dyDescent="0.25">
      <c r="A8" s="2" t="s">
        <v>105</v>
      </c>
      <c r="B8" t="s">
        <v>110</v>
      </c>
    </row>
    <row r="9" spans="1:20" x14ac:dyDescent="0.25">
      <c r="A9" s="2" t="s">
        <v>106</v>
      </c>
      <c r="B9" t="s">
        <v>100</v>
      </c>
    </row>
    <row r="10" spans="1:20" x14ac:dyDescent="0.25">
      <c r="A10" s="2" t="s">
        <v>107</v>
      </c>
      <c r="B10" t="s">
        <v>101</v>
      </c>
    </row>
    <row r="15" spans="1:20" s="3" customFormat="1" x14ac:dyDescent="0.25">
      <c r="B15" s="3" t="s">
        <v>109</v>
      </c>
    </row>
    <row r="22" spans="1:1" x14ac:dyDescent="0.25">
      <c r="A22" t="s">
        <v>108</v>
      </c>
    </row>
  </sheetData>
  <mergeCells count="4">
    <mergeCell ref="A6:P6"/>
    <mergeCell ref="A7:P7"/>
    <mergeCell ref="A4:P4"/>
    <mergeCell ref="A5:T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CarregarDados">
                <anchor moveWithCells="1" sizeWithCells="1">
                  <from>
                    <xdr:col>5</xdr:col>
                    <xdr:colOff>581025</xdr:colOff>
                    <xdr:row>10</xdr:row>
                    <xdr:rowOff>85725</xdr:rowOff>
                  </from>
                  <to>
                    <xdr:col>8</xdr:col>
                    <xdr:colOff>447675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DeletarPlanilha">
                <anchor moveWithCells="1" sizeWithCells="1">
                  <from>
                    <xdr:col>3</xdr:col>
                    <xdr:colOff>66675</xdr:colOff>
                    <xdr:row>10</xdr:row>
                    <xdr:rowOff>85725</xdr:rowOff>
                  </from>
                  <to>
                    <xdr:col>5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sbidentifica_path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2</xdr:col>
                    <xdr:colOff>581025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ABFA4-6AE0-4337-943E-BAC5B5F424AC}">
  <dimension ref="A1:H46"/>
  <sheetViews>
    <sheetView workbookViewId="0">
      <selection activeCell="I7" sqref="I7"/>
    </sheetView>
  </sheetViews>
  <sheetFormatPr defaultRowHeight="15" x14ac:dyDescent="0.25"/>
  <cols>
    <col min="1" max="1" width="7.42578125" style="5" customWidth="1"/>
    <col min="2" max="2" width="32.5703125" style="5" customWidth="1"/>
    <col min="3" max="3" width="9.85546875" style="5" customWidth="1"/>
    <col min="4" max="4" width="9" style="5" customWidth="1"/>
    <col min="5" max="6" width="8.85546875" style="5" bestFit="1" customWidth="1"/>
    <col min="7" max="7" width="11.85546875" style="5" customWidth="1"/>
    <col min="8" max="8" width="12.140625" style="5" bestFit="1" customWidth="1"/>
  </cols>
  <sheetData>
    <row r="1" spans="1: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96</v>
      </c>
      <c r="H1" s="5" t="s">
        <v>97</v>
      </c>
    </row>
    <row r="2" spans="1:8" x14ac:dyDescent="0.25">
      <c r="A2" s="6" t="s">
        <v>6</v>
      </c>
      <c r="B2" s="6" t="s">
        <v>7</v>
      </c>
      <c r="C2" s="7">
        <v>5</v>
      </c>
      <c r="D2" s="7">
        <v>10</v>
      </c>
      <c r="E2" s="7">
        <v>10</v>
      </c>
      <c r="F2" s="7">
        <v>5</v>
      </c>
      <c r="G2" s="7">
        <f>AVERAGE(Turmas[[#This Row],[01BIM]:[04BIM]])</f>
        <v>7.5</v>
      </c>
      <c r="H2" s="5" t="str">
        <f>IF(Turmas[[#This Row],[MEDIA]]&lt;7,"REPROVADO","PASSOU")</f>
        <v>PASSOU</v>
      </c>
    </row>
    <row r="3" spans="1:8" x14ac:dyDescent="0.25">
      <c r="A3" s="6" t="s">
        <v>8</v>
      </c>
      <c r="B3" s="6" t="s">
        <v>9</v>
      </c>
      <c r="C3" s="7">
        <v>7</v>
      </c>
      <c r="D3" s="7">
        <v>0</v>
      </c>
      <c r="E3" s="7">
        <v>6</v>
      </c>
      <c r="F3" s="7">
        <v>5</v>
      </c>
      <c r="G3" s="7">
        <f>AVERAGE(Turmas[[#This Row],[01BIM]:[04BIM]])</f>
        <v>4.5</v>
      </c>
      <c r="H3" s="5" t="str">
        <f>IF(Turmas[[#This Row],[MEDIA]]&lt;7,"REPROVADO","PASSOU")</f>
        <v>REPROVADO</v>
      </c>
    </row>
    <row r="4" spans="1:8" x14ac:dyDescent="0.25">
      <c r="A4" s="6" t="s">
        <v>10</v>
      </c>
      <c r="B4" s="6" t="s">
        <v>11</v>
      </c>
      <c r="C4" s="7">
        <v>8</v>
      </c>
      <c r="D4" s="7">
        <v>3</v>
      </c>
      <c r="E4" s="7">
        <v>4</v>
      </c>
      <c r="F4" s="7">
        <v>9</v>
      </c>
      <c r="G4" s="7">
        <f>AVERAGE(Turmas[[#This Row],[01BIM]:[04BIM]])</f>
        <v>6</v>
      </c>
      <c r="H4" s="5" t="str">
        <f>IF(Turmas[[#This Row],[MEDIA]]&lt;7,"REPROVADO","PASSOU")</f>
        <v>REPROVADO</v>
      </c>
    </row>
    <row r="5" spans="1:8" x14ac:dyDescent="0.25">
      <c r="A5" s="6" t="s">
        <v>12</v>
      </c>
      <c r="B5" s="6" t="s">
        <v>13</v>
      </c>
      <c r="C5" s="7">
        <v>2</v>
      </c>
      <c r="D5" s="7">
        <v>4</v>
      </c>
      <c r="E5" s="7">
        <v>3</v>
      </c>
      <c r="F5" s="7">
        <v>4</v>
      </c>
      <c r="G5" s="7">
        <f>AVERAGE(Turmas[[#This Row],[01BIM]:[04BIM]])</f>
        <v>3.25</v>
      </c>
      <c r="H5" s="5" t="str">
        <f>IF(Turmas[[#This Row],[MEDIA]]&lt;7,"REPROVADO","PASSOU")</f>
        <v>REPROVADO</v>
      </c>
    </row>
    <row r="6" spans="1:8" x14ac:dyDescent="0.25">
      <c r="A6" s="6" t="s">
        <v>14</v>
      </c>
      <c r="B6" s="6" t="s">
        <v>15</v>
      </c>
      <c r="C6" s="7">
        <v>7</v>
      </c>
      <c r="D6" s="7">
        <v>0</v>
      </c>
      <c r="E6" s="7">
        <v>10</v>
      </c>
      <c r="F6" s="7">
        <v>0</v>
      </c>
      <c r="G6" s="7">
        <f>AVERAGE(Turmas[[#This Row],[01BIM]:[04BIM]])</f>
        <v>4.25</v>
      </c>
      <c r="H6" s="5" t="str">
        <f>IF(Turmas[[#This Row],[MEDIA]]&lt;7,"REPROVADO","PASSOU")</f>
        <v>REPROVADO</v>
      </c>
    </row>
    <row r="7" spans="1:8" x14ac:dyDescent="0.25">
      <c r="A7" s="6" t="s">
        <v>16</v>
      </c>
      <c r="B7" s="6" t="s">
        <v>17</v>
      </c>
      <c r="C7" s="7">
        <v>2</v>
      </c>
      <c r="D7" s="7">
        <v>2</v>
      </c>
      <c r="E7" s="7">
        <v>3</v>
      </c>
      <c r="F7" s="7">
        <v>10</v>
      </c>
      <c r="G7" s="7">
        <f>AVERAGE(Turmas[[#This Row],[01BIM]:[04BIM]])</f>
        <v>4.25</v>
      </c>
      <c r="H7" s="5" t="str">
        <f>IF(Turmas[[#This Row],[MEDIA]]&lt;7,"REPROVADO","PASSOU")</f>
        <v>REPROVADO</v>
      </c>
    </row>
    <row r="8" spans="1:8" x14ac:dyDescent="0.25">
      <c r="A8" s="6" t="s">
        <v>18</v>
      </c>
      <c r="B8" s="6" t="s">
        <v>19</v>
      </c>
      <c r="C8" s="7">
        <v>7</v>
      </c>
      <c r="D8" s="7">
        <v>8</v>
      </c>
      <c r="E8" s="7">
        <v>4</v>
      </c>
      <c r="F8" s="7">
        <v>0</v>
      </c>
      <c r="G8" s="7">
        <f>AVERAGE(Turmas[[#This Row],[01BIM]:[04BIM]])</f>
        <v>4.75</v>
      </c>
      <c r="H8" s="5" t="str">
        <f>IF(Turmas[[#This Row],[MEDIA]]&lt;7,"REPROVADO","PASSOU")</f>
        <v>REPROVADO</v>
      </c>
    </row>
    <row r="9" spans="1:8" x14ac:dyDescent="0.25">
      <c r="A9" s="6" t="s">
        <v>20</v>
      </c>
      <c r="B9" s="6" t="s">
        <v>21</v>
      </c>
      <c r="C9" s="7">
        <v>3</v>
      </c>
      <c r="D9" s="7">
        <v>1</v>
      </c>
      <c r="E9" s="7">
        <v>3</v>
      </c>
      <c r="F9" s="7">
        <v>3</v>
      </c>
      <c r="G9" s="7">
        <f>AVERAGE(Turmas[[#This Row],[01BIM]:[04BIM]])</f>
        <v>2.5</v>
      </c>
      <c r="H9" s="5" t="str">
        <f>IF(Turmas[[#This Row],[MEDIA]]&lt;7,"REPROVADO","PASSOU")</f>
        <v>REPROVADO</v>
      </c>
    </row>
    <row r="10" spans="1:8" x14ac:dyDescent="0.25">
      <c r="A10" s="6" t="s">
        <v>22</v>
      </c>
      <c r="B10" s="6" t="s">
        <v>23</v>
      </c>
      <c r="C10" s="7">
        <v>8</v>
      </c>
      <c r="D10" s="7">
        <v>10</v>
      </c>
      <c r="E10" s="7">
        <v>6</v>
      </c>
      <c r="F10" s="7">
        <v>10</v>
      </c>
      <c r="G10" s="7">
        <f>AVERAGE(Turmas[[#This Row],[01BIM]:[04BIM]])</f>
        <v>8.5</v>
      </c>
      <c r="H10" s="5" t="str">
        <f>IF(Turmas[[#This Row],[MEDIA]]&lt;7,"REPROVADO","PASSOU")</f>
        <v>PASSOU</v>
      </c>
    </row>
    <row r="11" spans="1:8" x14ac:dyDescent="0.25">
      <c r="A11" s="6" t="s">
        <v>24</v>
      </c>
      <c r="B11" s="6" t="s">
        <v>25</v>
      </c>
      <c r="C11" s="7">
        <v>1</v>
      </c>
      <c r="D11" s="7">
        <v>4</v>
      </c>
      <c r="E11" s="7">
        <v>9</v>
      </c>
      <c r="F11" s="7">
        <v>10</v>
      </c>
      <c r="G11" s="7">
        <f>AVERAGE(Turmas[[#This Row],[01BIM]:[04BIM]])</f>
        <v>6</v>
      </c>
      <c r="H11" s="5" t="str">
        <f>IF(Turmas[[#This Row],[MEDIA]]&lt;7,"REPROVADO","PASSOU")</f>
        <v>REPROVADO</v>
      </c>
    </row>
    <row r="12" spans="1:8" x14ac:dyDescent="0.25">
      <c r="A12" s="6" t="s">
        <v>26</v>
      </c>
      <c r="B12" s="6" t="s">
        <v>27</v>
      </c>
      <c r="C12" s="7">
        <v>8</v>
      </c>
      <c r="D12" s="7">
        <v>5</v>
      </c>
      <c r="E12" s="7">
        <v>4</v>
      </c>
      <c r="F12" s="7">
        <v>8</v>
      </c>
      <c r="G12" s="7">
        <f>AVERAGE(Turmas[[#This Row],[01BIM]:[04BIM]])</f>
        <v>6.25</v>
      </c>
      <c r="H12" s="5" t="str">
        <f>IF(Turmas[[#This Row],[MEDIA]]&lt;7,"REPROVADO","PASSOU")</f>
        <v>REPROVADO</v>
      </c>
    </row>
    <row r="13" spans="1:8" x14ac:dyDescent="0.25">
      <c r="A13" s="6" t="s">
        <v>28</v>
      </c>
      <c r="B13" s="6" t="s">
        <v>29</v>
      </c>
      <c r="C13" s="7">
        <v>1</v>
      </c>
      <c r="D13" s="7">
        <v>9</v>
      </c>
      <c r="E13" s="7">
        <v>9</v>
      </c>
      <c r="F13" s="7">
        <v>5</v>
      </c>
      <c r="G13" s="7">
        <f>AVERAGE(Turmas[[#This Row],[01BIM]:[04BIM]])</f>
        <v>6</v>
      </c>
      <c r="H13" s="5" t="str">
        <f>IF(Turmas[[#This Row],[MEDIA]]&lt;7,"REPROVADO","PASSOU")</f>
        <v>REPROVADO</v>
      </c>
    </row>
    <row r="14" spans="1:8" x14ac:dyDescent="0.25">
      <c r="A14" s="6" t="s">
        <v>30</v>
      </c>
      <c r="B14" s="6" t="s">
        <v>31</v>
      </c>
      <c r="C14" s="7">
        <v>3</v>
      </c>
      <c r="D14" s="7">
        <v>7</v>
      </c>
      <c r="E14" s="7">
        <v>5</v>
      </c>
      <c r="F14" s="7">
        <v>8</v>
      </c>
      <c r="G14" s="7">
        <f>AVERAGE(Turmas[[#This Row],[01BIM]:[04BIM]])</f>
        <v>5.75</v>
      </c>
      <c r="H14" s="5" t="str">
        <f>IF(Turmas[[#This Row],[MEDIA]]&lt;7,"REPROVADO","PASSOU")</f>
        <v>REPROVADO</v>
      </c>
    </row>
    <row r="15" spans="1:8" x14ac:dyDescent="0.25">
      <c r="A15" s="6" t="s">
        <v>32</v>
      </c>
      <c r="B15" s="6" t="s">
        <v>33</v>
      </c>
      <c r="C15" s="7">
        <v>7</v>
      </c>
      <c r="D15" s="7">
        <v>8</v>
      </c>
      <c r="E15" s="7">
        <v>8</v>
      </c>
      <c r="F15" s="7">
        <v>1</v>
      </c>
      <c r="G15" s="7">
        <f>AVERAGE(Turmas[[#This Row],[01BIM]:[04BIM]])</f>
        <v>6</v>
      </c>
      <c r="H15" s="5" t="str">
        <f>IF(Turmas[[#This Row],[MEDIA]]&lt;7,"REPROVADO","PASSOU")</f>
        <v>REPROVADO</v>
      </c>
    </row>
    <row r="16" spans="1:8" x14ac:dyDescent="0.25">
      <c r="A16" s="6" t="s">
        <v>34</v>
      </c>
      <c r="B16" s="6" t="s">
        <v>35</v>
      </c>
      <c r="C16" s="7">
        <v>7</v>
      </c>
      <c r="D16" s="7">
        <v>4</v>
      </c>
      <c r="E16" s="7">
        <v>1</v>
      </c>
      <c r="F16" s="7">
        <v>3</v>
      </c>
      <c r="G16" s="7">
        <f>AVERAGE(Turmas[[#This Row],[01BIM]:[04BIM]])</f>
        <v>3.75</v>
      </c>
      <c r="H16" s="5" t="str">
        <f>IF(Turmas[[#This Row],[MEDIA]]&lt;7,"REPROVADO","PASSOU")</f>
        <v>REPROVADO</v>
      </c>
    </row>
    <row r="17" spans="1:8" x14ac:dyDescent="0.25">
      <c r="A17" s="6" t="s">
        <v>36</v>
      </c>
      <c r="B17" s="6" t="s">
        <v>37</v>
      </c>
      <c r="C17" s="7">
        <v>8</v>
      </c>
      <c r="D17" s="7">
        <v>6</v>
      </c>
      <c r="E17" s="7">
        <v>6</v>
      </c>
      <c r="F17" s="7">
        <v>2</v>
      </c>
      <c r="G17" s="7">
        <f>AVERAGE(Turmas[[#This Row],[01BIM]:[04BIM]])</f>
        <v>5.5</v>
      </c>
      <c r="H17" s="5" t="str">
        <f>IF(Turmas[[#This Row],[MEDIA]]&lt;7,"REPROVADO","PASSOU")</f>
        <v>REPROVADO</v>
      </c>
    </row>
    <row r="18" spans="1:8" x14ac:dyDescent="0.25">
      <c r="A18" s="6" t="s">
        <v>38</v>
      </c>
      <c r="B18" s="6" t="s">
        <v>39</v>
      </c>
      <c r="C18" s="7">
        <v>6</v>
      </c>
      <c r="D18" s="7">
        <v>8</v>
      </c>
      <c r="E18" s="7">
        <v>9</v>
      </c>
      <c r="F18" s="7">
        <v>9</v>
      </c>
      <c r="G18" s="7">
        <f>AVERAGE(Turmas[[#This Row],[01BIM]:[04BIM]])</f>
        <v>8</v>
      </c>
      <c r="H18" s="5" t="str">
        <f>IF(Turmas[[#This Row],[MEDIA]]&lt;7,"REPROVADO","PASSOU")</f>
        <v>PASSOU</v>
      </c>
    </row>
    <row r="19" spans="1:8" x14ac:dyDescent="0.25">
      <c r="A19" s="6" t="s">
        <v>40</v>
      </c>
      <c r="B19" s="6" t="s">
        <v>41</v>
      </c>
      <c r="C19" s="7">
        <v>10</v>
      </c>
      <c r="D19" s="7">
        <v>9</v>
      </c>
      <c r="E19" s="7">
        <v>8</v>
      </c>
      <c r="F19" s="7">
        <v>1</v>
      </c>
      <c r="G19" s="7">
        <f>AVERAGE(Turmas[[#This Row],[01BIM]:[04BIM]])</f>
        <v>7</v>
      </c>
      <c r="H19" s="5" t="str">
        <f>IF(Turmas[[#This Row],[MEDIA]]&lt;7,"REPROVADO","PASSOU")</f>
        <v>PASSOU</v>
      </c>
    </row>
    <row r="20" spans="1:8" x14ac:dyDescent="0.25">
      <c r="A20" s="6" t="s">
        <v>42</v>
      </c>
      <c r="B20" s="6" t="s">
        <v>43</v>
      </c>
      <c r="C20" s="7">
        <v>8</v>
      </c>
      <c r="D20" s="7">
        <v>2</v>
      </c>
      <c r="E20" s="7">
        <v>5</v>
      </c>
      <c r="F20" s="7">
        <v>4</v>
      </c>
      <c r="G20" s="7">
        <f>AVERAGE(Turmas[[#This Row],[01BIM]:[04BIM]])</f>
        <v>4.75</v>
      </c>
      <c r="H20" s="5" t="str">
        <f>IF(Turmas[[#This Row],[MEDIA]]&lt;7,"REPROVADO","PASSOU")</f>
        <v>REPROVADO</v>
      </c>
    </row>
    <row r="21" spans="1:8" x14ac:dyDescent="0.25">
      <c r="A21" s="6" t="s">
        <v>44</v>
      </c>
      <c r="B21" s="6" t="s">
        <v>45</v>
      </c>
      <c r="C21" s="7">
        <v>1</v>
      </c>
      <c r="D21" s="7">
        <v>3</v>
      </c>
      <c r="E21" s="7">
        <v>9</v>
      </c>
      <c r="F21" s="7">
        <v>3</v>
      </c>
      <c r="G21" s="7">
        <f>AVERAGE(Turmas[[#This Row],[01BIM]:[04BIM]])</f>
        <v>4</v>
      </c>
      <c r="H21" s="5" t="str">
        <f>IF(Turmas[[#This Row],[MEDIA]]&lt;7,"REPROVADO","PASSOU")</f>
        <v>REPROVADO</v>
      </c>
    </row>
    <row r="22" spans="1:8" x14ac:dyDescent="0.25">
      <c r="A22" s="6" t="s">
        <v>46</v>
      </c>
      <c r="B22" s="6" t="s">
        <v>47</v>
      </c>
      <c r="C22" s="7">
        <v>10</v>
      </c>
      <c r="D22" s="7">
        <v>9</v>
      </c>
      <c r="E22" s="7">
        <v>5</v>
      </c>
      <c r="F22" s="7">
        <v>9</v>
      </c>
      <c r="G22" s="7">
        <f>AVERAGE(Turmas[[#This Row],[01BIM]:[04BIM]])</f>
        <v>8.25</v>
      </c>
      <c r="H22" s="5" t="str">
        <f>IF(Turmas[[#This Row],[MEDIA]]&lt;7,"REPROVADO","PASSOU")</f>
        <v>PASSOU</v>
      </c>
    </row>
    <row r="23" spans="1:8" x14ac:dyDescent="0.25">
      <c r="A23" s="6" t="s">
        <v>48</v>
      </c>
      <c r="B23" s="6" t="s">
        <v>49</v>
      </c>
      <c r="C23" s="7">
        <v>7</v>
      </c>
      <c r="D23" s="7">
        <v>1</v>
      </c>
      <c r="E23" s="7">
        <v>1</v>
      </c>
      <c r="F23" s="7">
        <v>10</v>
      </c>
      <c r="G23" s="7">
        <f>AVERAGE(Turmas[[#This Row],[01BIM]:[04BIM]])</f>
        <v>4.75</v>
      </c>
      <c r="H23" s="5" t="str">
        <f>IF(Turmas[[#This Row],[MEDIA]]&lt;7,"REPROVADO","PASSOU")</f>
        <v>REPROVADO</v>
      </c>
    </row>
    <row r="24" spans="1:8" x14ac:dyDescent="0.25">
      <c r="A24" s="6" t="s">
        <v>50</v>
      </c>
      <c r="B24" s="6" t="s">
        <v>51</v>
      </c>
      <c r="C24" s="7">
        <v>7</v>
      </c>
      <c r="D24" s="7">
        <v>9</v>
      </c>
      <c r="E24" s="7">
        <v>10</v>
      </c>
      <c r="F24" s="7">
        <v>9</v>
      </c>
      <c r="G24" s="7">
        <f>AVERAGE(Turmas[[#This Row],[01BIM]:[04BIM]])</f>
        <v>8.75</v>
      </c>
      <c r="H24" s="5" t="str">
        <f>IF(Turmas[[#This Row],[MEDIA]]&lt;7,"REPROVADO","PASSOU")</f>
        <v>PASSOU</v>
      </c>
    </row>
    <row r="25" spans="1:8" x14ac:dyDescent="0.25">
      <c r="A25" s="6" t="s">
        <v>52</v>
      </c>
      <c r="B25" s="6" t="s">
        <v>53</v>
      </c>
      <c r="C25" s="7">
        <v>8</v>
      </c>
      <c r="D25" s="7">
        <v>5</v>
      </c>
      <c r="E25" s="7">
        <v>5</v>
      </c>
      <c r="F25" s="7">
        <v>5</v>
      </c>
      <c r="G25" s="7">
        <f>AVERAGE(Turmas[[#This Row],[01BIM]:[04BIM]])</f>
        <v>5.75</v>
      </c>
      <c r="H25" s="5" t="str">
        <f>IF(Turmas[[#This Row],[MEDIA]]&lt;7,"REPROVADO","PASSOU")</f>
        <v>REPROVADO</v>
      </c>
    </row>
    <row r="26" spans="1:8" x14ac:dyDescent="0.25">
      <c r="A26" s="6" t="s">
        <v>54</v>
      </c>
      <c r="B26" s="6" t="s">
        <v>55</v>
      </c>
      <c r="C26" s="7">
        <v>6</v>
      </c>
      <c r="D26" s="7">
        <v>7</v>
      </c>
      <c r="E26" s="7">
        <v>6</v>
      </c>
      <c r="F26" s="7">
        <v>8</v>
      </c>
      <c r="G26" s="7">
        <f>AVERAGE(Turmas[[#This Row],[01BIM]:[04BIM]])</f>
        <v>6.75</v>
      </c>
      <c r="H26" s="5" t="str">
        <f>IF(Turmas[[#This Row],[MEDIA]]&lt;7,"REPROVADO","PASSOU")</f>
        <v>REPROVADO</v>
      </c>
    </row>
    <row r="27" spans="1:8" x14ac:dyDescent="0.25">
      <c r="A27" s="6" t="s">
        <v>56</v>
      </c>
      <c r="B27" s="6" t="s">
        <v>57</v>
      </c>
      <c r="C27" s="7">
        <v>1</v>
      </c>
      <c r="D27" s="7">
        <v>3</v>
      </c>
      <c r="E27" s="7">
        <v>7</v>
      </c>
      <c r="F27" s="7">
        <v>1</v>
      </c>
      <c r="G27" s="7">
        <f>AVERAGE(Turmas[[#This Row],[01BIM]:[04BIM]])</f>
        <v>3</v>
      </c>
      <c r="H27" s="5" t="str">
        <f>IF(Turmas[[#This Row],[MEDIA]]&lt;7,"REPROVADO","PASSOU")</f>
        <v>REPROVADO</v>
      </c>
    </row>
    <row r="28" spans="1:8" x14ac:dyDescent="0.25">
      <c r="A28" s="6" t="s">
        <v>58</v>
      </c>
      <c r="B28" s="6" t="s">
        <v>59</v>
      </c>
      <c r="C28" s="7">
        <v>4</v>
      </c>
      <c r="D28" s="7">
        <v>1</v>
      </c>
      <c r="E28" s="7">
        <v>2</v>
      </c>
      <c r="F28" s="7">
        <v>10</v>
      </c>
      <c r="G28" s="7">
        <f>AVERAGE(Turmas[[#This Row],[01BIM]:[04BIM]])</f>
        <v>4.25</v>
      </c>
      <c r="H28" s="5" t="str">
        <f>IF(Turmas[[#This Row],[MEDIA]]&lt;7,"REPROVADO","PASSOU")</f>
        <v>REPROVADO</v>
      </c>
    </row>
    <row r="29" spans="1:8" x14ac:dyDescent="0.25">
      <c r="A29" s="6" t="s">
        <v>60</v>
      </c>
      <c r="B29" s="6" t="s">
        <v>61</v>
      </c>
      <c r="C29" s="7">
        <v>5</v>
      </c>
      <c r="D29" s="7">
        <v>7</v>
      </c>
      <c r="E29" s="7">
        <v>9</v>
      </c>
      <c r="F29" s="7">
        <v>5</v>
      </c>
      <c r="G29" s="7">
        <f>AVERAGE(Turmas[[#This Row],[01BIM]:[04BIM]])</f>
        <v>6.5</v>
      </c>
      <c r="H29" s="5" t="str">
        <f>IF(Turmas[[#This Row],[MEDIA]]&lt;7,"REPROVADO","PASSOU")</f>
        <v>REPROVADO</v>
      </c>
    </row>
    <row r="30" spans="1:8" x14ac:dyDescent="0.25">
      <c r="A30" s="6" t="s">
        <v>62</v>
      </c>
      <c r="B30" s="6" t="s">
        <v>63</v>
      </c>
      <c r="C30" s="7">
        <v>4</v>
      </c>
      <c r="D30" s="7">
        <v>1</v>
      </c>
      <c r="E30" s="7">
        <v>10</v>
      </c>
      <c r="F30" s="7">
        <v>7</v>
      </c>
      <c r="G30" s="7">
        <f>AVERAGE(Turmas[[#This Row],[01BIM]:[04BIM]])</f>
        <v>5.5</v>
      </c>
      <c r="H30" s="5" t="str">
        <f>IF(Turmas[[#This Row],[MEDIA]]&lt;7,"REPROVADO","PASSOU")</f>
        <v>REPROVADO</v>
      </c>
    </row>
    <row r="31" spans="1:8" x14ac:dyDescent="0.25">
      <c r="A31" s="6" t="s">
        <v>64</v>
      </c>
      <c r="B31" s="6" t="s">
        <v>65</v>
      </c>
      <c r="C31" s="7">
        <v>3</v>
      </c>
      <c r="D31" s="7">
        <v>7</v>
      </c>
      <c r="E31" s="7">
        <v>5</v>
      </c>
      <c r="F31" s="7">
        <v>2</v>
      </c>
      <c r="G31" s="7">
        <f>AVERAGE(Turmas[[#This Row],[01BIM]:[04BIM]])</f>
        <v>4.25</v>
      </c>
      <c r="H31" s="5" t="str">
        <f>IF(Turmas[[#This Row],[MEDIA]]&lt;7,"REPROVADO","PASSOU")</f>
        <v>REPROVADO</v>
      </c>
    </row>
    <row r="32" spans="1:8" x14ac:dyDescent="0.25">
      <c r="A32" s="6" t="s">
        <v>66</v>
      </c>
      <c r="B32" s="6" t="s">
        <v>67</v>
      </c>
      <c r="C32" s="7">
        <v>7</v>
      </c>
      <c r="D32" s="7">
        <v>4</v>
      </c>
      <c r="E32" s="7">
        <v>4</v>
      </c>
      <c r="F32" s="7">
        <v>3</v>
      </c>
      <c r="G32" s="7">
        <f>AVERAGE(Turmas[[#This Row],[01BIM]:[04BIM]])</f>
        <v>4.5</v>
      </c>
      <c r="H32" s="5" t="str">
        <f>IF(Turmas[[#This Row],[MEDIA]]&lt;7,"REPROVADO","PASSOU")</f>
        <v>REPROVADO</v>
      </c>
    </row>
    <row r="33" spans="1:8" x14ac:dyDescent="0.25">
      <c r="A33" s="6" t="s">
        <v>68</v>
      </c>
      <c r="B33" s="6" t="s">
        <v>69</v>
      </c>
      <c r="C33" s="7">
        <v>5</v>
      </c>
      <c r="D33" s="7">
        <v>1</v>
      </c>
      <c r="E33" s="7">
        <v>7</v>
      </c>
      <c r="F33" s="7">
        <v>1</v>
      </c>
      <c r="G33" s="7">
        <f>AVERAGE(Turmas[[#This Row],[01BIM]:[04BIM]])</f>
        <v>3.5</v>
      </c>
      <c r="H33" s="5" t="str">
        <f>IF(Turmas[[#This Row],[MEDIA]]&lt;7,"REPROVADO","PASSOU")</f>
        <v>REPROVADO</v>
      </c>
    </row>
    <row r="34" spans="1:8" x14ac:dyDescent="0.25">
      <c r="A34" s="6" t="s">
        <v>70</v>
      </c>
      <c r="B34" s="6" t="s">
        <v>71</v>
      </c>
      <c r="C34" s="7">
        <v>10</v>
      </c>
      <c r="D34" s="7">
        <v>5</v>
      </c>
      <c r="E34" s="7">
        <v>1</v>
      </c>
      <c r="F34" s="7">
        <v>8</v>
      </c>
      <c r="G34" s="7">
        <f>AVERAGE(Turmas[[#This Row],[01BIM]:[04BIM]])</f>
        <v>6</v>
      </c>
      <c r="H34" s="5" t="str">
        <f>IF(Turmas[[#This Row],[MEDIA]]&lt;7,"REPROVADO","PASSOU")</f>
        <v>REPROVADO</v>
      </c>
    </row>
    <row r="35" spans="1:8" x14ac:dyDescent="0.25">
      <c r="A35" s="6" t="s">
        <v>72</v>
      </c>
      <c r="B35" s="6" t="s">
        <v>73</v>
      </c>
      <c r="C35" s="7">
        <v>5</v>
      </c>
      <c r="D35" s="7">
        <v>10</v>
      </c>
      <c r="E35" s="7">
        <v>2</v>
      </c>
      <c r="F35" s="7">
        <v>1</v>
      </c>
      <c r="G35" s="7">
        <f>AVERAGE(Turmas[[#This Row],[01BIM]:[04BIM]])</f>
        <v>4.5</v>
      </c>
      <c r="H35" s="5" t="str">
        <f>IF(Turmas[[#This Row],[MEDIA]]&lt;7,"REPROVADO","PASSOU")</f>
        <v>REPROVADO</v>
      </c>
    </row>
    <row r="36" spans="1:8" x14ac:dyDescent="0.25">
      <c r="A36" s="6" t="s">
        <v>74</v>
      </c>
      <c r="B36" s="6" t="s">
        <v>75</v>
      </c>
      <c r="C36" s="7">
        <v>5</v>
      </c>
      <c r="D36" s="7">
        <v>8</v>
      </c>
      <c r="E36" s="7">
        <v>1</v>
      </c>
      <c r="F36" s="7">
        <v>3</v>
      </c>
      <c r="G36" s="7">
        <f>AVERAGE(Turmas[[#This Row],[01BIM]:[04BIM]])</f>
        <v>4.25</v>
      </c>
      <c r="H36" s="5" t="str">
        <f>IF(Turmas[[#This Row],[MEDIA]]&lt;7,"REPROVADO","PASSOU")</f>
        <v>REPROVADO</v>
      </c>
    </row>
    <row r="37" spans="1:8" x14ac:dyDescent="0.25">
      <c r="A37" s="6" t="s">
        <v>76</v>
      </c>
      <c r="B37" s="6" t="s">
        <v>77</v>
      </c>
      <c r="C37" s="7">
        <v>1</v>
      </c>
      <c r="D37" s="7">
        <v>9</v>
      </c>
      <c r="E37" s="7">
        <v>3</v>
      </c>
      <c r="F37" s="7">
        <v>1</v>
      </c>
      <c r="G37" s="7">
        <f>AVERAGE(Turmas[[#This Row],[01BIM]:[04BIM]])</f>
        <v>3.5</v>
      </c>
      <c r="H37" s="5" t="str">
        <f>IF(Turmas[[#This Row],[MEDIA]]&lt;7,"REPROVADO","PASSOU")</f>
        <v>REPROVADO</v>
      </c>
    </row>
    <row r="38" spans="1:8" x14ac:dyDescent="0.25">
      <c r="A38" s="6" t="s">
        <v>78</v>
      </c>
      <c r="B38" s="6" t="s">
        <v>79</v>
      </c>
      <c r="C38" s="7">
        <v>6</v>
      </c>
      <c r="D38" s="7">
        <v>2</v>
      </c>
      <c r="E38" s="7">
        <v>3</v>
      </c>
      <c r="F38" s="7">
        <v>3</v>
      </c>
      <c r="G38" s="7">
        <f>AVERAGE(Turmas[[#This Row],[01BIM]:[04BIM]])</f>
        <v>3.5</v>
      </c>
      <c r="H38" s="5" t="str">
        <f>IF(Turmas[[#This Row],[MEDIA]]&lt;7,"REPROVADO","PASSOU")</f>
        <v>REPROVADO</v>
      </c>
    </row>
    <row r="39" spans="1:8" x14ac:dyDescent="0.25">
      <c r="A39" s="6" t="s">
        <v>80</v>
      </c>
      <c r="B39" s="6" t="s">
        <v>81</v>
      </c>
      <c r="C39" s="7">
        <v>4</v>
      </c>
      <c r="D39" s="7">
        <v>5</v>
      </c>
      <c r="E39" s="7">
        <v>3</v>
      </c>
      <c r="F39" s="7">
        <v>8</v>
      </c>
      <c r="G39" s="7">
        <f>AVERAGE(Turmas[[#This Row],[01BIM]:[04BIM]])</f>
        <v>5</v>
      </c>
      <c r="H39" s="5" t="str">
        <f>IF(Turmas[[#This Row],[MEDIA]]&lt;7,"REPROVADO","PASSOU")</f>
        <v>REPROVADO</v>
      </c>
    </row>
    <row r="40" spans="1:8" x14ac:dyDescent="0.25">
      <c r="A40" s="6" t="s">
        <v>82</v>
      </c>
      <c r="B40" s="6" t="s">
        <v>83</v>
      </c>
      <c r="C40" s="7">
        <v>6</v>
      </c>
      <c r="D40" s="7">
        <v>10</v>
      </c>
      <c r="E40" s="7">
        <v>9</v>
      </c>
      <c r="F40" s="7">
        <v>6</v>
      </c>
      <c r="G40" s="7">
        <f>AVERAGE(Turmas[[#This Row],[01BIM]:[04BIM]])</f>
        <v>7.75</v>
      </c>
      <c r="H40" s="5" t="str">
        <f>IF(Turmas[[#This Row],[MEDIA]]&lt;7,"REPROVADO","PASSOU")</f>
        <v>PASSOU</v>
      </c>
    </row>
    <row r="41" spans="1:8" x14ac:dyDescent="0.25">
      <c r="A41" s="6" t="s">
        <v>84</v>
      </c>
      <c r="B41" s="6" t="s">
        <v>85</v>
      </c>
      <c r="C41" s="7">
        <v>3</v>
      </c>
      <c r="D41" s="7">
        <v>8</v>
      </c>
      <c r="E41" s="7">
        <v>4</v>
      </c>
      <c r="F41" s="7">
        <v>8</v>
      </c>
      <c r="G41" s="7">
        <f>AVERAGE(Turmas[[#This Row],[01BIM]:[04BIM]])</f>
        <v>5.75</v>
      </c>
      <c r="H41" s="5" t="str">
        <f>IF(Turmas[[#This Row],[MEDIA]]&lt;7,"REPROVADO","PASSOU")</f>
        <v>REPROVADO</v>
      </c>
    </row>
    <row r="42" spans="1:8" x14ac:dyDescent="0.25">
      <c r="A42" s="6" t="s">
        <v>86</v>
      </c>
      <c r="B42" s="6" t="s">
        <v>87</v>
      </c>
      <c r="C42" s="7">
        <v>5</v>
      </c>
      <c r="D42" s="7">
        <v>1</v>
      </c>
      <c r="E42" s="7">
        <v>4</v>
      </c>
      <c r="F42" s="7">
        <v>10</v>
      </c>
      <c r="G42" s="7">
        <f>AVERAGE(Turmas[[#This Row],[01BIM]:[04BIM]])</f>
        <v>5</v>
      </c>
      <c r="H42" s="5" t="str">
        <f>IF(Turmas[[#This Row],[MEDIA]]&lt;7,"REPROVADO","PASSOU")</f>
        <v>REPROVADO</v>
      </c>
    </row>
    <row r="43" spans="1:8" x14ac:dyDescent="0.25">
      <c r="A43" s="6" t="s">
        <v>88</v>
      </c>
      <c r="B43" s="6" t="s">
        <v>89</v>
      </c>
      <c r="C43" s="7">
        <v>2</v>
      </c>
      <c r="D43" s="7">
        <v>6</v>
      </c>
      <c r="E43" s="7">
        <v>1</v>
      </c>
      <c r="F43" s="7">
        <v>10</v>
      </c>
      <c r="G43" s="7">
        <f>AVERAGE(Turmas[[#This Row],[01BIM]:[04BIM]])</f>
        <v>4.75</v>
      </c>
      <c r="H43" s="5" t="str">
        <f>IF(Turmas[[#This Row],[MEDIA]]&lt;7,"REPROVADO","PASSOU")</f>
        <v>REPROVADO</v>
      </c>
    </row>
    <row r="44" spans="1:8" x14ac:dyDescent="0.25">
      <c r="A44" s="6" t="s">
        <v>90</v>
      </c>
      <c r="B44" s="6" t="s">
        <v>91</v>
      </c>
      <c r="C44" s="7">
        <v>1</v>
      </c>
      <c r="D44" s="7">
        <v>7</v>
      </c>
      <c r="E44" s="7">
        <v>10</v>
      </c>
      <c r="F44" s="7">
        <v>3</v>
      </c>
      <c r="G44" s="7">
        <f>AVERAGE(Turmas[[#This Row],[01BIM]:[04BIM]])</f>
        <v>5.25</v>
      </c>
      <c r="H44" s="5" t="str">
        <f>IF(Turmas[[#This Row],[MEDIA]]&lt;7,"REPROVADO","PASSOU")</f>
        <v>REPROVADO</v>
      </c>
    </row>
    <row r="45" spans="1:8" x14ac:dyDescent="0.25">
      <c r="A45" s="6" t="s">
        <v>92</v>
      </c>
      <c r="B45" s="6" t="s">
        <v>93</v>
      </c>
      <c r="C45" s="7">
        <v>5</v>
      </c>
      <c r="D45" s="7">
        <v>2</v>
      </c>
      <c r="E45" s="7">
        <v>1</v>
      </c>
      <c r="F45" s="7">
        <v>7</v>
      </c>
      <c r="G45" s="7">
        <f>AVERAGE(Turmas[[#This Row],[01BIM]:[04BIM]])</f>
        <v>3.75</v>
      </c>
      <c r="H45" s="5" t="str">
        <f>IF(Turmas[[#This Row],[MEDIA]]&lt;7,"REPROVADO","PASSOU")</f>
        <v>REPROVADO</v>
      </c>
    </row>
    <row r="46" spans="1:8" x14ac:dyDescent="0.25">
      <c r="A46" s="6" t="s">
        <v>94</v>
      </c>
      <c r="B46" s="6" t="s">
        <v>95</v>
      </c>
      <c r="C46" s="7">
        <v>5</v>
      </c>
      <c r="D46" s="7">
        <v>1</v>
      </c>
      <c r="E46" s="7">
        <v>8</v>
      </c>
      <c r="F46" s="7">
        <v>6</v>
      </c>
      <c r="G46" s="7">
        <f>AVERAGE(Turmas[[#This Row],[01BIM]:[04BIM]])</f>
        <v>5</v>
      </c>
      <c r="H46" s="5" t="str">
        <f>IF(Turmas[[#This Row],[MEDIA]]&lt;7,"REPROVADO","PASSOU")</f>
        <v>REPROVADO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0AA9E-5698-4E1F-AB73-C7F82BB49E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Moreira</dc:creator>
  <cp:lastModifiedBy>Flavio Moreira</cp:lastModifiedBy>
  <dcterms:created xsi:type="dcterms:W3CDTF">2023-02-01T01:47:48Z</dcterms:created>
  <dcterms:modified xsi:type="dcterms:W3CDTF">2023-02-01T06:39:47Z</dcterms:modified>
</cp:coreProperties>
</file>