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lavi\OneDrive\Área de Trabalho\"/>
    </mc:Choice>
  </mc:AlternateContent>
  <xr:revisionPtr revIDLastSave="0" documentId="13_ncr:1_{CB6D5135-C6AB-412D-B173-5CE200D9289F}" xr6:coauthVersionLast="47" xr6:coauthVersionMax="47" xr10:uidLastSave="{00000000-0000-0000-0000-000000000000}"/>
  <bookViews>
    <workbookView xWindow="-120" yWindow="-120" windowWidth="20730" windowHeight="11760" xr2:uid="{C1B61AA5-C757-4C13-B5B2-E36863709022}"/>
  </bookViews>
  <sheets>
    <sheet name="Produtos Infantis" sheetId="1" r:id="rId1"/>
    <sheet name="Dados" sheetId="8" r:id="rId2"/>
    <sheet name="Reposição de estoque" sheetId="9" state="hidden" r:id="rId3"/>
  </sheets>
  <functionGroups builtInGroupCount="19"/>
  <definedNames>
    <definedName name="_xlnm._FilterDatabase" localSheetId="0" hidden="1">'Produtos Infantis'!$A$2:$F$201</definedName>
    <definedName name="_xlnm._FilterDatabase" localSheetId="2" hidden="1">'Reposição de estoque'!$A$6:$F$126</definedName>
    <definedName name="_xlnm.Extract" localSheetId="2">'Reposição de estoque'!$A$6:$F$6</definedName>
    <definedName name="_xlnm.Criteria" localSheetId="2">'Reposição de estoque'!$A$2:$F$3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F256" i="1" a="1"/>
  <c r="E294" i="1" a="1"/>
  <c r="F210" i="1" a="1"/>
  <c r="F294" i="1" a="1"/>
  <c r="E23" i="1" a="1"/>
  <c r="E276" i="1" a="1"/>
  <c r="F239" i="1" a="1"/>
  <c r="F246" i="1" a="1"/>
  <c r="F114" i="1" a="1"/>
  <c r="F9" i="1" a="1"/>
  <c r="F7" i="1" a="1"/>
  <c r="F235" i="1" a="1"/>
  <c r="E154" i="1" a="1"/>
  <c r="E289" i="1" a="1"/>
  <c r="E158" i="1" a="1"/>
  <c r="E28" i="1" a="1"/>
  <c r="F182" i="1" a="1"/>
  <c r="F80" i="1" a="1"/>
  <c r="F283" i="1" a="1"/>
  <c r="E186" i="1" a="1"/>
  <c r="E41" i="1" a="1"/>
  <c r="E188" i="1" a="1"/>
  <c r="E116" i="1" a="1"/>
  <c r="E21" i="1" a="1"/>
  <c r="F293" i="1" a="1"/>
  <c r="F58" i="1" a="1"/>
  <c r="F6" i="1" a="1"/>
  <c r="F196" i="1" a="1"/>
  <c r="E150" i="1" a="1"/>
  <c r="F254" i="1" a="1"/>
  <c r="E148" i="1" a="1"/>
  <c r="F180" i="1" a="1"/>
  <c r="E166" i="1" a="1"/>
  <c r="E19" i="1" a="1"/>
  <c r="F281" i="1" a="1"/>
  <c r="E275" i="1" a="1"/>
  <c r="E92" i="1" a="1"/>
  <c r="E268" i="1" a="1"/>
  <c r="F228" i="1" a="1"/>
  <c r="E262" i="1" a="1"/>
  <c r="E299" i="1" a="1"/>
  <c r="E119" i="1" a="1"/>
  <c r="F174" i="1" a="1"/>
  <c r="E300" i="1" a="1"/>
  <c r="E105" i="1" a="1"/>
  <c r="F163" i="1" a="1"/>
  <c r="F242" i="1" a="1"/>
  <c r="F25" i="1" a="1"/>
  <c r="F79" i="1" a="1"/>
  <c r="F98" i="1" a="1"/>
  <c r="F33" i="1" a="1"/>
  <c r="E49" i="1" a="1"/>
  <c r="E226" i="1" a="1"/>
  <c r="E34" i="1" a="1"/>
  <c r="F297" i="1" a="1"/>
  <c r="E33" i="1" a="1"/>
  <c r="E285" i="1" a="1"/>
  <c r="E201" i="1" a="1"/>
  <c r="E194" i="1" a="1"/>
  <c r="E76" i="1" a="1"/>
  <c r="F51" i="1" a="1"/>
  <c r="F120" i="1" a="1"/>
  <c r="E138" i="1" a="1"/>
  <c r="E171" i="1" a="1"/>
  <c r="E175" i="1" a="1"/>
  <c r="E189" i="1" a="1"/>
  <c r="F274" i="1" a="1"/>
  <c r="F133" i="1" a="1"/>
  <c r="F56" i="1" a="1"/>
  <c r="E67" i="1" a="1"/>
  <c r="E187" i="1" a="1"/>
  <c r="E191" i="1" a="1"/>
  <c r="E205" i="1" a="1"/>
  <c r="F190" i="1" a="1"/>
  <c r="E133" i="1" a="1"/>
  <c r="E237" i="1" a="1"/>
  <c r="E140" i="1" a="1"/>
  <c r="E29" i="1" a="1"/>
  <c r="F109" i="1" a="1"/>
  <c r="F23" i="1" a="1"/>
  <c r="E3" i="1" a="1"/>
  <c r="E99" i="1" a="1"/>
  <c r="F108" i="1" a="1"/>
  <c r="F154" i="1" a="1"/>
  <c r="E209" i="1" a="1"/>
  <c r="E254" i="1" a="1"/>
  <c r="E195" i="1" a="1"/>
  <c r="E223" i="1" a="1"/>
  <c r="E287" i="1" a="1"/>
  <c r="E88" i="1" a="1"/>
  <c r="F32" i="1" a="1"/>
  <c r="E81" i="1" a="1"/>
  <c r="F240" i="1" a="1"/>
  <c r="E113" i="1" a="1"/>
  <c r="E9" i="1" a="1"/>
  <c r="E265" i="1" a="1"/>
  <c r="E155" i="1" a="1"/>
  <c r="E159" i="1" a="1"/>
  <c r="E173" i="1" a="1"/>
  <c r="F231" i="1" a="1"/>
  <c r="E64" i="1" a="1"/>
  <c r="E259" i="1" a="1"/>
  <c r="F143" i="1" a="1"/>
  <c r="E295" i="1" a="1"/>
  <c r="F15" i="1" a="1"/>
  <c r="E243" i="1" a="1"/>
  <c r="F275" i="1" a="1"/>
  <c r="F214" i="1" a="1"/>
  <c r="F192" i="1" a="1"/>
  <c r="E57" i="1" a="1"/>
  <c r="E213" i="1" a="1"/>
  <c r="F211" i="1" a="1"/>
  <c r="F282" i="1" a="1"/>
  <c r="F194" i="1" a="1"/>
  <c r="F217" i="1" a="1"/>
  <c r="E290" i="1" a="1"/>
  <c r="F43" i="1" a="1"/>
  <c r="E245" i="1" a="1"/>
  <c r="E266" i="1" a="1"/>
  <c r="F253" i="1" a="1"/>
  <c r="E68" i="1" a="1"/>
  <c r="E17" i="1" a="1"/>
  <c r="F273" i="1" a="1"/>
  <c r="E176" i="1" a="1"/>
  <c r="F4" i="1" a="1"/>
  <c r="E72" i="1" a="1"/>
  <c r="F150" i="1" a="1"/>
  <c r="E203" i="1" a="1"/>
  <c r="F237" i="1" a="1"/>
  <c r="E11" i="1" a="1"/>
  <c r="E118" i="1" a="1"/>
  <c r="E122" i="1" a="1"/>
  <c r="F138" i="1" a="1"/>
  <c r="F135" i="1" a="1"/>
  <c r="E82" i="1" a="1"/>
  <c r="E257" i="1" a="1"/>
  <c r="F188" i="1" a="1"/>
  <c r="E55" i="1" a="1"/>
  <c r="E50" i="1" a="1"/>
  <c r="F176" i="1" a="1"/>
  <c r="F47" i="1" a="1"/>
  <c r="F63" i="1" a="1"/>
  <c r="F117" i="1" a="1"/>
  <c r="F115" i="1" a="1"/>
  <c r="E165" i="1" a="1"/>
  <c r="F111" i="1" a="1"/>
  <c r="F251" i="1" a="1"/>
  <c r="F173" i="1" a="1"/>
  <c r="F291" i="1" a="1"/>
  <c r="F159" i="1" a="1"/>
  <c r="F220" i="1" a="1"/>
  <c r="E293" i="1" a="1"/>
  <c r="E153" i="1" a="1"/>
  <c r="F17" i="1" a="1"/>
  <c r="F40" i="1" a="1"/>
  <c r="F234" i="1" a="1"/>
  <c r="F38" i="1" a="1"/>
  <c r="E35" i="1" a="1"/>
  <c r="F202" i="1" a="1"/>
  <c r="F203" i="1" a="1"/>
  <c r="E225" i="1" a="1"/>
  <c r="E297" i="1" a="1"/>
  <c r="E233" i="1" a="1"/>
  <c r="F277" i="1" a="1"/>
  <c r="F12" i="1" a="1"/>
  <c r="F8" i="1" a="1"/>
  <c r="E89" i="1" a="1"/>
  <c r="F91" i="1" a="1"/>
  <c r="F262" i="1" a="1"/>
  <c r="E98" i="1" a="1"/>
  <c r="E207" i="1" a="1"/>
  <c r="F198" i="1" a="1"/>
  <c r="F164" i="1" a="1"/>
  <c r="F31" i="1" a="1"/>
  <c r="F87" i="1" a="1"/>
  <c r="F200" i="1" a="1"/>
  <c r="E18" i="1" a="1"/>
  <c r="F55" i="1" a="1"/>
  <c r="E13" i="1" a="1"/>
  <c r="E73" i="1" a="1"/>
  <c r="F260" i="1" a="1"/>
  <c r="E107" i="1" a="1"/>
  <c r="E96" i="1" a="1"/>
  <c r="F116" i="1" a="1"/>
  <c r="E272" i="1" a="1"/>
  <c r="E139" i="1" a="1"/>
  <c r="E157" i="1" a="1"/>
  <c r="F245" i="1" a="1"/>
  <c r="E172" i="1" a="1"/>
  <c r="E211" i="1" a="1"/>
  <c r="F61" i="1" a="1"/>
  <c r="F122" i="1" a="1"/>
  <c r="F70" i="1" a="1"/>
  <c r="E208" i="1" a="1"/>
  <c r="F21" i="1" a="1"/>
  <c r="F96" i="1" a="1"/>
  <c r="E58" i="1" a="1"/>
  <c r="E109" i="1" a="1"/>
  <c r="E251" i="1" a="1"/>
  <c r="F267" i="1" a="1"/>
  <c r="F225" i="1" a="1"/>
  <c r="F212" i="1" a="1"/>
  <c r="E16" i="1" a="1"/>
  <c r="E104" i="1" a="1"/>
  <c r="F219" i="1" a="1"/>
  <c r="F185" i="1" a="1"/>
  <c r="F193" i="1" a="1"/>
  <c r="F261" i="1" a="1"/>
  <c r="F179" i="1" a="1"/>
  <c r="F68" i="1" a="1"/>
  <c r="F278" i="1" a="1"/>
  <c r="F26" i="1" a="1"/>
  <c r="E241" i="1" a="1"/>
  <c r="F24" i="1" a="1"/>
  <c r="E51" i="1" a="1"/>
  <c r="E59" i="1" a="1"/>
  <c r="E190" i="1" a="1"/>
  <c r="F140" i="1" a="1"/>
  <c r="E4" i="1" a="1"/>
  <c r="F14" i="1" a="1"/>
  <c r="F252" i="1" a="1"/>
  <c r="E37" i="1" a="1"/>
  <c r="F104" i="1" a="1"/>
  <c r="E263" i="1" a="1"/>
  <c r="F284" i="1" a="1"/>
  <c r="F241" i="1" a="1"/>
  <c r="F65" i="1" a="1"/>
  <c r="F189" i="1" a="1"/>
  <c r="F263" i="1" a="1"/>
  <c r="F41" i="1" a="1"/>
  <c r="F197" i="1" a="1"/>
  <c r="E12" i="1" a="1"/>
  <c r="F157" i="1" a="1"/>
  <c r="E284" i="1" a="1"/>
  <c r="E261" i="1" a="1"/>
  <c r="E227" i="1" a="1"/>
  <c r="F139" i="1" a="1"/>
  <c r="F128" i="1" a="1"/>
  <c r="F127" i="1" a="1"/>
  <c r="E40" i="1" a="1"/>
  <c r="F102" i="1" a="1"/>
  <c r="F247" i="1" a="1"/>
  <c r="E270" i="1" a="1"/>
  <c r="E56" i="1" a="1"/>
  <c r="F49" i="1" a="1"/>
  <c r="F130" i="1" a="1"/>
  <c r="E27" i="1" a="1"/>
  <c r="F53" i="1" a="1"/>
  <c r="E152" i="1" a="1"/>
  <c r="F125" i="1" a="1"/>
  <c r="E120" i="1" a="1"/>
  <c r="E250" i="1" a="1"/>
  <c r="E144" i="1" a="1"/>
  <c r="F158" i="1" a="1"/>
  <c r="E292" i="1" a="1"/>
  <c r="E78" i="1" a="1"/>
  <c r="F19" i="1" a="1"/>
  <c r="F160" i="1" a="1"/>
  <c r="E256" i="1" a="1"/>
  <c r="E249" i="1" a="1"/>
  <c r="F205" i="1" a="1"/>
  <c r="E160" i="1" a="1"/>
  <c r="E36" i="1" a="1"/>
  <c r="F290" i="1" a="1"/>
  <c r="F27" i="1" a="1"/>
  <c r="E117" i="1" a="1"/>
  <c r="E114" i="1" a="1"/>
  <c r="E219" i="1" a="1"/>
  <c r="E79" i="1" a="1"/>
  <c r="E143" i="1" a="1"/>
  <c r="E197" i="1" a="1"/>
  <c r="E101" i="1" a="1"/>
  <c r="E164" i="1" a="1"/>
  <c r="F141" i="1" a="1"/>
  <c r="E218" i="1" a="1"/>
  <c r="E181" i="1" a="1"/>
  <c r="F48" i="1" a="1"/>
  <c r="F236" i="1" a="1"/>
  <c r="E169" i="1" a="1"/>
  <c r="F20" i="1" a="1"/>
  <c r="E127" i="1" a="1"/>
  <c r="E54" i="1" a="1"/>
  <c r="E247" i="1" a="1"/>
  <c r="E97" i="1" a="1"/>
  <c r="F94" i="1" a="1"/>
  <c r="F171" i="1" a="1"/>
  <c r="F76" i="1" a="1"/>
  <c r="F167" i="1" a="1"/>
  <c r="E112" i="1" a="1"/>
  <c r="F106" i="1" a="1"/>
  <c r="E248" i="1" a="1"/>
  <c r="E61" i="1" a="1"/>
  <c r="E273" i="1" a="1"/>
  <c r="F208" i="1" a="1"/>
  <c r="F142" i="1" a="1"/>
  <c r="E240" i="1" a="1"/>
  <c r="F59" i="1" a="1"/>
  <c r="E163" i="1" a="1"/>
  <c r="F29" i="1" a="1"/>
  <c r="E130" i="1" a="1"/>
  <c r="E282" i="1" a="1"/>
  <c r="E124" i="1" a="1"/>
  <c r="F148" i="1" a="1"/>
  <c r="F92" i="1" a="1"/>
  <c r="E202" i="1" a="1"/>
  <c r="E94" i="1" a="1"/>
  <c r="E274" i="1" a="1"/>
  <c r="F216" i="1" a="1"/>
  <c r="E24" i="1" a="1"/>
  <c r="F90" i="1" a="1"/>
  <c r="E5" i="1" a="1"/>
  <c r="E134" i="1" a="1"/>
  <c r="F184" i="1" a="1"/>
  <c r="F165" i="1" a="1"/>
  <c r="E278" i="1" a="1"/>
  <c r="E95" i="1" a="1"/>
  <c r="F44" i="1" a="1"/>
  <c r="F123" i="1" a="1"/>
  <c r="F272" i="1" a="1"/>
  <c r="F124" i="1" a="1"/>
  <c r="E244" i="1" a="1"/>
  <c r="F156" i="1" a="1"/>
  <c r="F132" i="1" a="1"/>
  <c r="E52" i="1" a="1"/>
  <c r="E102" i="1" a="1"/>
  <c r="F226" i="1" a="1"/>
  <c r="F206" i="1" a="1"/>
  <c r="F289" i="1" a="1"/>
  <c r="E47" i="1" a="1"/>
  <c r="E147" i="1" a="1"/>
  <c r="E10" i="1" a="1"/>
  <c r="F149" i="1" a="1"/>
  <c r="E238" i="1" a="1"/>
  <c r="F77" i="1" a="1"/>
  <c r="E281" i="1" a="1"/>
  <c r="E74" i="1" a="1"/>
  <c r="F88" i="1" a="1"/>
  <c r="E231" i="1" a="1"/>
  <c r="E271" i="1" a="1"/>
  <c r="F60" i="1" a="1"/>
  <c r="F199" i="1" a="1"/>
  <c r="E128" i="1" a="1"/>
  <c r="E71" i="1" a="1"/>
  <c r="F69" i="1" a="1"/>
  <c r="E85" i="1" a="1"/>
  <c r="E103" i="1" a="1"/>
  <c r="F221" i="1" a="1"/>
  <c r="E62" i="1" a="1"/>
  <c r="E42" i="1" a="1"/>
  <c r="F99" i="1" a="1"/>
  <c r="F295" i="1" a="1"/>
  <c r="E184" i="1" a="1"/>
  <c r="E264" i="1" a="1"/>
  <c r="F131" i="1" a="1"/>
  <c r="E60" i="1" a="1"/>
  <c r="F18" i="1" a="1"/>
  <c r="E32" i="1" a="1"/>
  <c r="F300" i="1" a="1"/>
  <c r="E131" i="1" a="1"/>
  <c r="E45" i="1" a="1"/>
  <c r="F177" i="1" a="1"/>
  <c r="F37" i="1" a="1"/>
  <c r="F83" i="1" a="1"/>
  <c r="E236" i="1" a="1"/>
  <c r="E204" i="1" a="1"/>
  <c r="F136" i="1" a="1"/>
  <c r="E277" i="1" a="1"/>
  <c r="F186" i="1" a="1"/>
  <c r="E20" i="1" a="1"/>
  <c r="F266" i="1" a="1"/>
  <c r="E183" i="1" a="1"/>
  <c r="E246" i="1" a="1"/>
  <c r="E125" i="1" a="1"/>
  <c r="F259" i="1" a="1"/>
  <c r="F129" i="1" a="1"/>
  <c r="E84" i="1" a="1"/>
  <c r="E239" i="1" a="1"/>
  <c r="E215" i="1" a="1"/>
  <c r="F45" i="1" a="1"/>
  <c r="F89" i="1" a="1"/>
  <c r="F195" i="1" a="1"/>
  <c r="F84" i="1" a="1"/>
  <c r="F223" i="1" a="1"/>
  <c r="E123" i="1" a="1"/>
  <c r="E48" i="1" a="1"/>
  <c r="E141" i="1" a="1"/>
  <c r="E220" i="1" a="1"/>
  <c r="E30" i="1" a="1"/>
  <c r="F175" i="1" a="1"/>
  <c r="E179" i="1" a="1"/>
  <c r="E178" i="1" a="1"/>
  <c r="F105" i="1" a="1"/>
  <c r="E22" i="1" a="1"/>
  <c r="F3" i="1" a="1"/>
  <c r="E196" i="1" a="1"/>
  <c r="F285" i="1" a="1"/>
  <c r="E214" i="1" a="1"/>
  <c r="E193" i="1" a="1"/>
  <c r="F146" i="1" a="1"/>
  <c r="E87" i="1" a="1"/>
  <c r="E70" i="1" a="1"/>
  <c r="F229" i="1" a="1"/>
  <c r="F62" i="1" a="1"/>
  <c r="F16" i="1" a="1"/>
  <c r="E234" i="1" a="1"/>
  <c r="E66" i="1" a="1"/>
  <c r="F112" i="1" a="1"/>
  <c r="E25" i="1" a="1"/>
  <c r="E6" i="1" a="1"/>
  <c r="E110" i="1" a="1"/>
  <c r="E65" i="1" a="1"/>
  <c r="F204" i="1" a="1"/>
  <c r="E14" i="1" a="1"/>
  <c r="F288" i="1" a="1"/>
  <c r="F101" i="1" a="1"/>
  <c r="E69" i="1" a="1"/>
  <c r="E39" i="1" a="1"/>
  <c r="F151" i="1" a="1"/>
  <c r="F187" i="1" a="1"/>
  <c r="F218" i="1" a="1"/>
  <c r="F161" i="1" a="1"/>
  <c r="F298" i="1" a="1"/>
  <c r="F147" i="1" a="1"/>
  <c r="F145" i="1" a="1"/>
  <c r="E106" i="1" a="1"/>
  <c r="F243" i="1" a="1"/>
  <c r="F269" i="1" a="1"/>
  <c r="F227" i="1" a="1"/>
  <c r="F213" i="1" a="1"/>
  <c r="E258" i="1" a="1"/>
  <c r="F103" i="1" a="1"/>
  <c r="F230" i="1" a="1"/>
  <c r="E44" i="1" a="1"/>
  <c r="F85" i="1" a="1"/>
  <c r="E198" i="1" a="1"/>
  <c r="F144" i="1" a="1"/>
  <c r="F244" i="1" a="1"/>
  <c r="E7" i="1" a="1"/>
  <c r="E269" i="1" a="1"/>
  <c r="F232" i="1" a="1"/>
  <c r="E83" i="1" a="1"/>
  <c r="E90" i="1" a="1"/>
  <c r="F64" i="1" a="1"/>
  <c r="F207" i="1" a="1"/>
  <c r="F166" i="1" a="1"/>
  <c r="F183" i="1" a="1"/>
  <c r="F95" i="1" a="1"/>
  <c r="E129" i="1" a="1"/>
  <c r="E224" i="1" a="1"/>
  <c r="E77" i="1" a="1"/>
  <c r="F178" i="1" a="1"/>
  <c r="F36" i="1" a="1"/>
  <c r="F276" i="1" a="1"/>
  <c r="F155" i="1" a="1"/>
  <c r="E280" i="1" a="1"/>
  <c r="F81" i="1" a="1"/>
  <c r="E121" i="1" a="1"/>
  <c r="E296" i="1" a="1"/>
  <c r="E185" i="1" a="1"/>
  <c r="F50" i="1" a="1"/>
  <c r="F286" i="1" a="1"/>
  <c r="F126" i="1" a="1"/>
  <c r="F39" i="1" a="1"/>
  <c r="F299" i="1" a="1"/>
  <c r="E212" i="1" a="1"/>
  <c r="F222" i="1" a="1"/>
  <c r="E46" i="1" a="1"/>
  <c r="E200" i="1" a="1"/>
  <c r="F13" i="1" a="1"/>
  <c r="F54" i="1" a="1"/>
  <c r="E288" i="1" a="1"/>
  <c r="F250" i="1" a="1"/>
  <c r="F268" i="1" a="1"/>
  <c r="F107" i="1" a="1"/>
  <c r="F34" i="1" a="1"/>
  <c r="E115" i="1" a="1"/>
  <c r="E167" i="1" a="1"/>
  <c r="F35" i="1" a="1"/>
  <c r="E38" i="1" a="1"/>
  <c r="E137" i="1" a="1"/>
  <c r="F10" i="1" a="1"/>
  <c r="E192" i="1" a="1"/>
  <c r="F201" i="1" a="1"/>
  <c r="E126" i="1" a="1"/>
  <c r="F279" i="1" a="1"/>
  <c r="F121" i="1" a="1"/>
  <c r="E142" i="1" a="1"/>
  <c r="F168" i="1" a="1"/>
  <c r="E100" i="1" a="1"/>
  <c r="F209" i="1" a="1"/>
  <c r="F255" i="1" a="1"/>
  <c r="F74" i="1" a="1"/>
  <c r="E216" i="1" a="1"/>
  <c r="E235" i="1" a="1"/>
  <c r="F258" i="1" a="1"/>
  <c r="E206" i="1" a="1"/>
  <c r="E286" i="1" a="1"/>
  <c r="F110" i="1" a="1"/>
  <c r="F93" i="1" a="1"/>
  <c r="F248" i="1" a="1"/>
  <c r="F75" i="1" a="1"/>
  <c r="E53" i="1" a="1"/>
  <c r="E170" i="1" a="1"/>
  <c r="E15" i="1" a="1"/>
  <c r="E80" i="1" a="1"/>
  <c r="F153" i="1" a="1"/>
  <c r="E232" i="1" a="1"/>
  <c r="F30" i="1" a="1"/>
  <c r="E177" i="1" a="1"/>
  <c r="F169" i="1" a="1"/>
  <c r="E31" i="1" a="1"/>
  <c r="F72" i="1" a="1"/>
  <c r="E279" i="1" a="1"/>
  <c r="F172" i="1" a="1"/>
  <c r="E242" i="1" a="1"/>
  <c r="F67" i="1" a="1"/>
  <c r="E145" i="1" a="1"/>
  <c r="F86" i="1" a="1"/>
  <c r="E91" i="1" a="1"/>
  <c r="E199" i="1" a="1"/>
  <c r="F118" i="1" a="1"/>
  <c r="E146" i="1" a="1"/>
  <c r="F264" i="1" a="1"/>
  <c r="F22" i="1" a="1"/>
  <c r="E43" i="1" a="1"/>
  <c r="E135" i="1" a="1"/>
  <c r="F73" i="1" a="1"/>
  <c r="E210" i="1" a="1"/>
  <c r="F191" i="1" a="1"/>
  <c r="E156" i="1" a="1"/>
  <c r="E161" i="1" a="1"/>
  <c r="E229" i="1" a="1"/>
  <c r="F162" i="1" a="1"/>
  <c r="F271" i="1" a="1"/>
  <c r="F257" i="1" a="1"/>
  <c r="E283" i="1" a="1"/>
  <c r="E228" i="1" a="1"/>
  <c r="F287" i="1" a="1"/>
  <c r="E149" i="1" a="1"/>
  <c r="F100" i="1" a="1"/>
  <c r="F42" i="1" a="1"/>
  <c r="E86" i="1" a="1"/>
  <c r="E168" i="1" a="1"/>
  <c r="F292" i="1" a="1"/>
  <c r="F280" i="1" a="1"/>
  <c r="F97" i="1" a="1"/>
  <c r="E253" i="1" a="1"/>
  <c r="F224" i="1" a="1"/>
  <c r="E75" i="1" a="1"/>
  <c r="E291" i="1" a="1"/>
  <c r="F270" i="1" a="1"/>
  <c r="F57" i="1" a="1"/>
  <c r="E132" i="1" a="1"/>
  <c r="E221" i="1" a="1"/>
  <c r="F11" i="1" a="1"/>
  <c r="E8" i="1" a="1"/>
  <c r="F137" i="1" a="1"/>
  <c r="E267" i="1" a="1"/>
  <c r="E162" i="1" a="1"/>
  <c r="E252" i="1" a="1"/>
  <c r="F52" i="1" a="1"/>
  <c r="E63" i="1" a="1"/>
  <c r="E182" i="1" a="1"/>
  <c r="F134" i="1" a="1"/>
  <c r="E222" i="1" a="1"/>
  <c r="E111" i="1" a="1"/>
  <c r="E260" i="1" a="1"/>
  <c r="E217" i="1" a="1"/>
  <c r="F28" i="1" a="1"/>
  <c r="F46" i="1" a="1"/>
  <c r="F238" i="1" a="1"/>
  <c r="F152" i="1" a="1"/>
  <c r="E151" i="1" a="1"/>
  <c r="E180" i="1" a="1"/>
  <c r="E255" i="1" a="1"/>
  <c r="F265" i="1" a="1"/>
  <c r="E93" i="1" a="1"/>
  <c r="E26" i="1" a="1"/>
  <c r="E298" i="1" a="1"/>
  <c r="F78" i="1" a="1"/>
  <c r="F82" i="1" a="1"/>
  <c r="E230" i="1" a="1"/>
  <c r="F215" i="1" a="1"/>
  <c r="F296" i="1" a="1"/>
  <c r="E174" i="1" a="1"/>
  <c r="F5" i="1" a="1"/>
  <c r="F249" i="1" a="1"/>
  <c r="F66" i="1" a="1"/>
  <c r="F181" i="1" a="1"/>
  <c r="E136" i="1" a="1"/>
  <c r="E108" i="1" a="1"/>
  <c r="F170" i="1" a="1"/>
  <c r="F233" i="1" a="1"/>
  <c r="F119" i="1" a="1"/>
  <c r="F113" i="1" a="1"/>
  <c r="F71" i="1" a="1"/>
  <c r="E95" i="1" l="1"/>
  <c r="E28" i="1"/>
  <c r="F246" i="1"/>
  <c r="E258" i="1"/>
  <c r="E210" i="1"/>
  <c r="E217" i="1"/>
  <c r="E6" i="1"/>
  <c r="F160" i="1"/>
  <c r="F290" i="1"/>
  <c r="E283" i="1"/>
  <c r="E250" i="1"/>
  <c r="F229" i="1"/>
  <c r="F244" i="1"/>
  <c r="F288" i="1"/>
  <c r="E268" i="1"/>
  <c r="E208" i="1"/>
  <c r="E176" i="1"/>
  <c r="E144" i="1"/>
  <c r="F211" i="1"/>
  <c r="F179" i="1"/>
  <c r="F147" i="1"/>
  <c r="E215" i="1"/>
  <c r="E183" i="1"/>
  <c r="E151" i="1"/>
  <c r="E29" i="1"/>
  <c r="E7" i="1"/>
  <c r="E295" i="1"/>
  <c r="E247" i="1"/>
  <c r="E178" i="1"/>
  <c r="F149" i="1"/>
  <c r="E102" i="1"/>
  <c r="E26" i="1"/>
  <c r="E240" i="1"/>
  <c r="E121" i="1"/>
  <c r="E12" i="1"/>
  <c r="F277" i="1"/>
  <c r="F212" i="1"/>
  <c r="E181" i="1"/>
  <c r="E98" i="1"/>
  <c r="F254" i="1"/>
  <c r="F178" i="1"/>
  <c r="E108" i="1"/>
  <c r="E76" i="1"/>
  <c r="E27" i="1"/>
  <c r="E96" i="1"/>
  <c r="F176" i="1"/>
  <c r="F138" i="1"/>
  <c r="E245" i="1"/>
  <c r="F293" i="1"/>
  <c r="F299" i="1"/>
  <c r="E146" i="1"/>
  <c r="F181" i="1"/>
  <c r="E153" i="1"/>
  <c r="E40" i="1"/>
  <c r="E88" i="1"/>
  <c r="E39" i="1"/>
  <c r="F270" i="1"/>
  <c r="F238" i="1"/>
  <c r="F242" i="1"/>
  <c r="E90" i="1"/>
  <c r="E56" i="1"/>
  <c r="E37" i="1"/>
  <c r="E71" i="1"/>
  <c r="F262" i="1"/>
  <c r="E286" i="1"/>
  <c r="F282" i="1"/>
  <c r="F239" i="1"/>
  <c r="E242" i="1"/>
  <c r="F241" i="1"/>
  <c r="E260" i="1"/>
  <c r="E174" i="1"/>
  <c r="E142" i="1"/>
  <c r="F177" i="1"/>
  <c r="F145" i="1"/>
  <c r="E149" i="1"/>
  <c r="E70" i="1"/>
  <c r="E93" i="1"/>
  <c r="E14" i="1"/>
  <c r="E92" i="1"/>
  <c r="E67" i="1"/>
  <c r="E278" i="1"/>
  <c r="E224" i="1"/>
  <c r="F279" i="1"/>
  <c r="F261" i="1"/>
  <c r="F298" i="1"/>
  <c r="E239" i="1"/>
  <c r="E252" i="1"/>
  <c r="E204" i="1"/>
  <c r="E140" i="1"/>
  <c r="F207" i="1"/>
  <c r="F143" i="1"/>
  <c r="E211" i="1"/>
  <c r="E179" i="1"/>
  <c r="E10" i="1"/>
  <c r="E80" i="1"/>
  <c r="E106" i="1"/>
  <c r="E36" i="1"/>
  <c r="E69" i="1"/>
  <c r="E42" i="1"/>
  <c r="E233" i="1"/>
  <c r="E281" i="1"/>
  <c r="F164" i="1"/>
  <c r="F266" i="1"/>
  <c r="F223" i="1"/>
  <c r="F273" i="1"/>
  <c r="F292" i="1"/>
  <c r="E194" i="1"/>
  <c r="E130" i="1"/>
  <c r="E169" i="1"/>
  <c r="E50" i="1"/>
  <c r="E52" i="1"/>
  <c r="E46" i="1"/>
  <c r="E21" i="1"/>
  <c r="F230" i="1"/>
  <c r="F148" i="1"/>
  <c r="F263" i="1"/>
  <c r="E293" i="1"/>
  <c r="F268" i="1"/>
  <c r="E287" i="1"/>
  <c r="E192" i="1"/>
  <c r="E128" i="1"/>
  <c r="F195" i="1"/>
  <c r="F163" i="1"/>
  <c r="E199" i="1"/>
  <c r="E167" i="1"/>
  <c r="E135" i="1"/>
  <c r="E101" i="1"/>
  <c r="F275" i="1"/>
  <c r="E248" i="1"/>
  <c r="E243" i="1"/>
  <c r="E276" i="1"/>
  <c r="F213" i="1"/>
  <c r="E185" i="1"/>
  <c r="E111" i="1"/>
  <c r="E122" i="1"/>
  <c r="E58" i="1"/>
  <c r="E291" i="1"/>
  <c r="E22" i="1"/>
  <c r="E120" i="1"/>
  <c r="E87" i="1"/>
  <c r="F144" i="1"/>
  <c r="E232" i="1"/>
  <c r="E275" i="1"/>
  <c r="F272" i="1"/>
  <c r="E206" i="1"/>
  <c r="F209" i="1"/>
  <c r="E213" i="1"/>
  <c r="E112" i="1"/>
  <c r="E31" i="1"/>
  <c r="E84" i="1"/>
  <c r="F128" i="1"/>
  <c r="F264" i="1"/>
  <c r="E237" i="1"/>
  <c r="E234" i="1"/>
  <c r="E259" i="1"/>
  <c r="E172" i="1"/>
  <c r="F175" i="1"/>
  <c r="E147" i="1"/>
  <c r="E43" i="1"/>
  <c r="F3" i="1"/>
  <c r="E45" i="1"/>
  <c r="E238" i="1"/>
  <c r="F142" i="1"/>
  <c r="E297" i="1"/>
  <c r="F225" i="1"/>
  <c r="F198" i="1"/>
  <c r="E162" i="1"/>
  <c r="F197" i="1"/>
  <c r="F165" i="1"/>
  <c r="F133" i="1"/>
  <c r="E201" i="1"/>
  <c r="E137" i="1"/>
  <c r="E107" i="1"/>
  <c r="E55" i="1"/>
  <c r="E15" i="1"/>
  <c r="E18" i="1"/>
  <c r="E116" i="1"/>
  <c r="F278" i="1"/>
  <c r="E230" i="1"/>
  <c r="F126" i="1"/>
  <c r="F220" i="1"/>
  <c r="F162" i="1"/>
  <c r="E223" i="1"/>
  <c r="F182" i="1"/>
  <c r="E160" i="1"/>
  <c r="F131" i="1"/>
  <c r="E105" i="1"/>
  <c r="E83" i="1"/>
  <c r="E85" i="1"/>
  <c r="E61" i="1"/>
  <c r="E20" i="1"/>
  <c r="E114" i="1"/>
  <c r="E17" i="1"/>
  <c r="E97" i="1"/>
  <c r="E23" i="1"/>
  <c r="F227" i="1"/>
  <c r="E273" i="1"/>
  <c r="E222" i="1"/>
  <c r="F132" i="1"/>
  <c r="F295" i="1"/>
  <c r="E261" i="1"/>
  <c r="F216" i="1"/>
  <c r="F287" i="1"/>
  <c r="F146" i="1"/>
  <c r="F265" i="1"/>
  <c r="F204" i="1"/>
  <c r="F281" i="1"/>
  <c r="F166" i="1"/>
  <c r="E190" i="1"/>
  <c r="E158" i="1"/>
  <c r="E126" i="1"/>
  <c r="F193" i="1"/>
  <c r="F161" i="1"/>
  <c r="F129" i="1"/>
  <c r="E197" i="1"/>
  <c r="E165" i="1"/>
  <c r="E133" i="1"/>
  <c r="E78" i="1"/>
  <c r="E64" i="1"/>
  <c r="E54" i="1"/>
  <c r="E30" i="1"/>
  <c r="E47" i="1"/>
  <c r="E118" i="1"/>
  <c r="E104" i="1"/>
  <c r="E75" i="1"/>
  <c r="E16" i="1"/>
  <c r="E62" i="1"/>
  <c r="E225" i="1"/>
  <c r="F267" i="1"/>
  <c r="E218" i="1"/>
  <c r="E288" i="1"/>
  <c r="F280" i="1"/>
  <c r="F258" i="1"/>
  <c r="F200" i="1"/>
  <c r="E285" i="1"/>
  <c r="F130" i="1"/>
  <c r="F260" i="1"/>
  <c r="F188" i="1"/>
  <c r="F276" i="1"/>
  <c r="F150" i="1"/>
  <c r="E188" i="1"/>
  <c r="E156" i="1"/>
  <c r="E124" i="1"/>
  <c r="F191" i="1"/>
  <c r="F159" i="1"/>
  <c r="F127" i="1"/>
  <c r="E195" i="1"/>
  <c r="E163" i="1"/>
  <c r="E131" i="1"/>
  <c r="E89" i="1"/>
  <c r="E300" i="1"/>
  <c r="E298" i="1"/>
  <c r="E270" i="1"/>
  <c r="E280" i="1"/>
  <c r="E267" i="1"/>
  <c r="F255" i="1"/>
  <c r="F184" i="1"/>
  <c r="E290" i="1"/>
  <c r="F294" i="1"/>
  <c r="F172" i="1"/>
  <c r="E271" i="1"/>
  <c r="F134" i="1"/>
  <c r="E170" i="1"/>
  <c r="E138" i="1"/>
  <c r="F205" i="1"/>
  <c r="F157" i="1"/>
  <c r="F125" i="1"/>
  <c r="E193" i="1"/>
  <c r="E145" i="1"/>
  <c r="E65" i="1"/>
  <c r="E19" i="1"/>
  <c r="E44" i="1"/>
  <c r="E68" i="1"/>
  <c r="E51" i="1"/>
  <c r="E57" i="1"/>
  <c r="E74" i="1"/>
  <c r="F218" i="1"/>
  <c r="F259" i="1"/>
  <c r="F186" i="1"/>
  <c r="E272" i="1"/>
  <c r="F190" i="1"/>
  <c r="F274" i="1"/>
  <c r="F231" i="1"/>
  <c r="F245" i="1"/>
  <c r="E220" i="1"/>
  <c r="F289" i="1"/>
  <c r="F156" i="1"/>
  <c r="E263" i="1"/>
  <c r="E200" i="1"/>
  <c r="E168" i="1"/>
  <c r="E136" i="1"/>
  <c r="F203" i="1"/>
  <c r="F171" i="1"/>
  <c r="E207" i="1"/>
  <c r="E143" i="1"/>
  <c r="E99" i="1"/>
  <c r="E77" i="1"/>
  <c r="E100" i="1"/>
  <c r="E33" i="1"/>
  <c r="E103" i="1"/>
  <c r="E73" i="1"/>
  <c r="E113" i="1"/>
  <c r="E11" i="1"/>
  <c r="E60" i="1"/>
  <c r="E41" i="1"/>
  <c r="E289" i="1"/>
  <c r="E241" i="1"/>
  <c r="F208" i="1"/>
  <c r="F291" i="1"/>
  <c r="E257" i="1"/>
  <c r="E254" i="1"/>
  <c r="F170" i="1"/>
  <c r="F224" i="1"/>
  <c r="E264" i="1"/>
  <c r="F174" i="1"/>
  <c r="F232" i="1"/>
  <c r="F271" i="1"/>
  <c r="F250" i="1"/>
  <c r="E229" i="1"/>
  <c r="F152" i="1"/>
  <c r="E235" i="1"/>
  <c r="E274" i="1"/>
  <c r="F210" i="1"/>
  <c r="F269" i="1"/>
  <c r="F284" i="1"/>
  <c r="F252" i="1"/>
  <c r="E231" i="1"/>
  <c r="F140" i="1"/>
  <c r="F300" i="1"/>
  <c r="E292" i="1"/>
  <c r="E228" i="1"/>
  <c r="E214" i="1"/>
  <c r="E198" i="1"/>
  <c r="E182" i="1"/>
  <c r="E166" i="1"/>
  <c r="E150" i="1"/>
  <c r="E134" i="1"/>
  <c r="F217" i="1"/>
  <c r="F201" i="1"/>
  <c r="F185" i="1"/>
  <c r="F169" i="1"/>
  <c r="F153" i="1"/>
  <c r="F137" i="1"/>
  <c r="E221" i="1"/>
  <c r="E205" i="1"/>
  <c r="E189" i="1"/>
  <c r="E173" i="1"/>
  <c r="E157" i="1"/>
  <c r="E141" i="1"/>
  <c r="E125" i="1"/>
  <c r="E25" i="1"/>
  <c r="E66" i="1"/>
  <c r="E249" i="1"/>
  <c r="F222" i="1"/>
  <c r="E265" i="1"/>
  <c r="F202" i="1"/>
  <c r="E251" i="1"/>
  <c r="F206" i="1"/>
  <c r="E277" i="1"/>
  <c r="F234" i="1"/>
  <c r="F253" i="1"/>
  <c r="E226" i="1"/>
  <c r="F297" i="1"/>
  <c r="F257" i="1"/>
  <c r="F236" i="1"/>
  <c r="F240" i="1"/>
  <c r="E244" i="1"/>
  <c r="E202" i="1"/>
  <c r="E186" i="1"/>
  <c r="E154" i="1"/>
  <c r="F221" i="1"/>
  <c r="F189" i="1"/>
  <c r="F173" i="1"/>
  <c r="F141" i="1"/>
  <c r="E209" i="1"/>
  <c r="E177" i="1"/>
  <c r="E161" i="1"/>
  <c r="E129" i="1"/>
  <c r="E119" i="1"/>
  <c r="E91" i="1"/>
  <c r="E115" i="1"/>
  <c r="E82" i="1"/>
  <c r="E79" i="1"/>
  <c r="E24" i="1"/>
  <c r="E59" i="1"/>
  <c r="E86" i="1"/>
  <c r="E294" i="1"/>
  <c r="F243" i="1"/>
  <c r="E296" i="1"/>
  <c r="E262" i="1"/>
  <c r="F237" i="1"/>
  <c r="F248" i="1"/>
  <c r="E253" i="1"/>
  <c r="F168" i="1"/>
  <c r="E282" i="1"/>
  <c r="F285" i="1"/>
  <c r="E255" i="1"/>
  <c r="F233" i="1"/>
  <c r="F180" i="1"/>
  <c r="E236" i="1"/>
  <c r="E216" i="1"/>
  <c r="E184" i="1"/>
  <c r="E152" i="1"/>
  <c r="F219" i="1"/>
  <c r="F187" i="1"/>
  <c r="F155" i="1"/>
  <c r="F139" i="1"/>
  <c r="F123" i="1"/>
  <c r="E191" i="1"/>
  <c r="E175" i="1"/>
  <c r="E159" i="1"/>
  <c r="E127" i="1"/>
  <c r="E48" i="1"/>
  <c r="E63" i="1"/>
  <c r="E4" i="1"/>
  <c r="E3" i="1"/>
  <c r="E32" i="1"/>
  <c r="E94" i="1"/>
  <c r="E9" i="1"/>
  <c r="E35" i="1"/>
  <c r="E109" i="1"/>
  <c r="E110" i="1"/>
  <c r="E8" i="1"/>
  <c r="E117" i="1"/>
  <c r="E5" i="1"/>
  <c r="E49" i="1"/>
  <c r="E34" i="1"/>
  <c r="E38" i="1"/>
  <c r="E13" i="1"/>
  <c r="E81" i="1"/>
  <c r="E53" i="1"/>
  <c r="E72" i="1"/>
  <c r="F283" i="1"/>
  <c r="F235" i="1"/>
  <c r="F192" i="1"/>
  <c r="F286" i="1"/>
  <c r="F251" i="1"/>
  <c r="E246" i="1"/>
  <c r="F154" i="1"/>
  <c r="F196" i="1"/>
  <c r="E256" i="1"/>
  <c r="F158" i="1"/>
  <c r="E299" i="1"/>
  <c r="E269" i="1"/>
  <c r="F247" i="1"/>
  <c r="F226" i="1"/>
  <c r="F136" i="1"/>
  <c r="E227" i="1"/>
  <c r="E266" i="1"/>
  <c r="F194" i="1"/>
  <c r="F256" i="1"/>
  <c r="E279" i="1"/>
  <c r="F249" i="1"/>
  <c r="F228" i="1"/>
  <c r="F124" i="1"/>
  <c r="F296" i="1"/>
  <c r="E284" i="1"/>
  <c r="F214" i="1"/>
  <c r="E212" i="1"/>
  <c r="E196" i="1"/>
  <c r="E180" i="1"/>
  <c r="E164" i="1"/>
  <c r="E148" i="1"/>
  <c r="E132" i="1"/>
  <c r="F215" i="1"/>
  <c r="F199" i="1"/>
  <c r="F183" i="1"/>
  <c r="F167" i="1"/>
  <c r="F151" i="1"/>
  <c r="F135" i="1"/>
  <c r="E219" i="1"/>
  <c r="E203" i="1"/>
  <c r="E187" i="1"/>
  <c r="E171" i="1"/>
  <c r="E155" i="1"/>
  <c r="E139" i="1"/>
  <c r="E123" i="1"/>
  <c r="F104" i="1"/>
  <c r="F88" i="1"/>
  <c r="F68" i="1"/>
  <c r="F48" i="1"/>
  <c r="F36" i="1"/>
  <c r="F16" i="1"/>
  <c r="F111" i="1"/>
  <c r="F91" i="1"/>
  <c r="F75" i="1"/>
  <c r="F47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16" i="1"/>
  <c r="F96" i="1"/>
  <c r="F76" i="1"/>
  <c r="F56" i="1"/>
  <c r="F40" i="1"/>
  <c r="F24" i="1"/>
  <c r="F8" i="1"/>
  <c r="F119" i="1"/>
  <c r="F99" i="1"/>
  <c r="F55" i="1"/>
  <c r="F120" i="1"/>
  <c r="F92" i="1"/>
  <c r="F64" i="1"/>
  <c r="F20" i="1"/>
  <c r="F103" i="1"/>
  <c r="F83" i="1"/>
  <c r="F63" i="1"/>
  <c r="F117" i="1"/>
  <c r="F105" i="1"/>
  <c r="F97" i="1"/>
  <c r="F85" i="1"/>
  <c r="F73" i="1"/>
  <c r="F65" i="1"/>
  <c r="F57" i="1"/>
  <c r="F53" i="1"/>
  <c r="F49" i="1"/>
  <c r="F45" i="1"/>
  <c r="F41" i="1"/>
  <c r="F33" i="1"/>
  <c r="F29" i="1"/>
  <c r="F25" i="1"/>
  <c r="F21" i="1"/>
  <c r="F17" i="1"/>
  <c r="F13" i="1"/>
  <c r="F9" i="1"/>
  <c r="F5" i="1"/>
  <c r="F108" i="1"/>
  <c r="F84" i="1"/>
  <c r="F72" i="1"/>
  <c r="F52" i="1"/>
  <c r="F32" i="1"/>
  <c r="F12" i="1"/>
  <c r="F107" i="1"/>
  <c r="F87" i="1"/>
  <c r="F71" i="1"/>
  <c r="F51" i="1"/>
  <c r="F121" i="1"/>
  <c r="F113" i="1"/>
  <c r="F109" i="1"/>
  <c r="F101" i="1"/>
  <c r="F93" i="1"/>
  <c r="F89" i="1"/>
  <c r="F81" i="1"/>
  <c r="F77" i="1"/>
  <c r="F69" i="1"/>
  <c r="F61" i="1"/>
  <c r="F37" i="1"/>
  <c r="F112" i="1"/>
  <c r="F100" i="1"/>
  <c r="F80" i="1"/>
  <c r="F60" i="1"/>
  <c r="F44" i="1"/>
  <c r="F28" i="1"/>
  <c r="F4" i="1"/>
  <c r="F115" i="1"/>
  <c r="F95" i="1"/>
  <c r="F79" i="1"/>
  <c r="F67" i="1"/>
  <c r="F59" i="1"/>
  <c r="F43" i="1"/>
  <c r="F39" i="1"/>
  <c r="F35" i="1"/>
  <c r="F31" i="1"/>
  <c r="F27" i="1"/>
  <c r="F23" i="1"/>
  <c r="F19" i="1"/>
  <c r="F15" i="1"/>
  <c r="F11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<sst xmlns="http://schemas.openxmlformats.org/spreadsheetml/2006/main" count="480" uniqueCount="17">
  <si>
    <t>Tamanho</t>
  </si>
  <si>
    <t>Descrição</t>
  </si>
  <si>
    <t>Lista de Produtos Infantis</t>
  </si>
  <si>
    <t>Quantidades</t>
  </si>
  <si>
    <t>Preço Unitário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</si>
  <si>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</si>
  <si>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</si>
  <si>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</si>
  <si>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</si>
  <si>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</si>
  <si>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</si>
  <si>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</si>
  <si>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</si>
  <si>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Status Estoque</t>
  </si>
  <si>
    <t>Valor total</t>
  </si>
  <si>
    <t>Estoque Baixo</t>
  </si>
  <si>
    <t>Estoque 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</si>
</sst>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5" borderId="5" xfId="0" applyFont="1" applyFill="1" applyBorder="1" applyAlignment="1">
      <alignment horizontal="left"/>
    </xf>
    <xf numFmtId="0" fontId="5" fillId="5" borderId="3" xfId="0" applyFont="1" applyFill="1" applyBorder="1" applyAlignment="1">
      <alignment horizontal="center"/>
    </xf>
    <xf numFmtId="164" fontId="5" fillId="5" borderId="3" xfId="1" applyFont="1" applyFill="1" applyBorder="1" applyAlignment="1">
      <alignment horizontal="center"/>
    </xf>
    <xf numFmtId="0" fontId="5" fillId="5" borderId="6" xfId="0" applyFont="1" applyFill="1" applyBorder="1" applyAlignment="1">
      <alignment horizontal="left"/>
    </xf>
    <xf numFmtId="0" fontId="5" fillId="5" borderId="4" xfId="0" applyFont="1" applyFill="1" applyBorder="1" applyAlignment="1">
      <alignment horizontal="center"/>
    </xf>
    <xf numFmtId="164" fontId="5" fillId="5" borderId="4" xfId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47625</xdr:rowOff>
        </xdr:from>
        <xdr:to>
          <xdr:col>5</xdr:col>
          <xdr:colOff>1333500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 estoque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300"/>
  <sheetViews>
    <sheetView showGridLines="0" tabSelected="1" zoomScaleNormal="100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23" t="s">
        <v>2</v>
      </c>
      <c r="B1" s="24"/>
      <c r="C1" s="24"/>
      <c r="D1" s="24"/>
      <c r="E1" s="24"/>
      <c r="F1" s="25"/>
    </row>
    <row r="2" spans="1:6" ht="16.5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13</v>
      </c>
      <c r="F2" s="3" t="s">
        <v>14</v>
      </c>
    </row>
    <row r="3" spans="1:6" x14ac:dyDescent="0.25">
      <c r="A3" s="17" t="s">
        <v>5</v>
      </c>
      <c r="B3" s="18">
        <v>36</v>
      </c>
      <c r="C3" s="19">
        <v>95</v>
      </c>
      <c r="D3" s="18">
        <v>3</v>
      </c>
      <c r="E3" s="19" t="str" cm="1">
        <f t="array" ref="E3">Nossa_SE(D3, "Estoque Baixo", "Estoque Normal")</f>
        <v>Estoque Baixo</v>
      </c>
      <c r="F3" s="19" cm="1">
        <f t="array" ref="F3">Nossa_MULT(C3,D3)</f>
        <v>285</v>
      </c>
    </row>
    <row r="4" spans="1:6" x14ac:dyDescent="0.25">
      <c r="A4" s="17" t="s">
        <v>7</v>
      </c>
      <c r="B4" s="18">
        <v>23</v>
      </c>
      <c r="C4" s="19">
        <v>89.9</v>
      </c>
      <c r="D4" s="18">
        <v>3</v>
      </c>
      <c r="E4" s="19" t="str" cm="1">
        <f t="array" ref="E4">Nossa_SE(D4, "Estoque Baixo", "Estoque Normal")</f>
        <v>Estoque Baixo</v>
      </c>
      <c r="F4" s="19" cm="1">
        <f t="array" ref="F4">Nossa_MULT(C4,D4)</f>
        <v>269.70000000000005</v>
      </c>
    </row>
    <row r="5" spans="1:6" x14ac:dyDescent="0.25">
      <c r="A5" s="17" t="s">
        <v>6</v>
      </c>
      <c r="B5" s="18">
        <v>25</v>
      </c>
      <c r="C5" s="19">
        <v>89.9</v>
      </c>
      <c r="D5" s="18">
        <v>0</v>
      </c>
      <c r="E5" s="19" t="str" cm="1">
        <f t="array" ref="E5">Nossa_SE(D5, "Estoque Baixo", "Estoque Normal")</f>
        <v>Estoque Baixo</v>
      </c>
      <c r="F5" s="19" cm="1">
        <f t="array" ref="F5">Nossa_MULT(C5,D5)</f>
        <v>0</v>
      </c>
    </row>
    <row r="6" spans="1:6" x14ac:dyDescent="0.25">
      <c r="A6" s="17" t="s">
        <v>8</v>
      </c>
      <c r="B6" s="18">
        <v>36</v>
      </c>
      <c r="C6" s="19">
        <v>83.3</v>
      </c>
      <c r="D6" s="18">
        <v>36</v>
      </c>
      <c r="E6" s="19" t="str" cm="1">
        <f t="array" ref="E6">Nossa_SE(D6, "Estoque Baixo", "Estoque Normal")</f>
        <v>Estoque Normal</v>
      </c>
      <c r="F6" s="19" cm="1">
        <f t="array" ref="F6">Nossa_MULT(C6,D6)</f>
        <v>2998.7999999999997</v>
      </c>
    </row>
    <row r="7" spans="1:6" x14ac:dyDescent="0.25">
      <c r="A7" s="17" t="s">
        <v>10</v>
      </c>
      <c r="B7" s="18">
        <v>36</v>
      </c>
      <c r="C7" s="19">
        <v>83.4</v>
      </c>
      <c r="D7" s="18">
        <v>5</v>
      </c>
      <c r="E7" s="19" t="str" cm="1">
        <f t="array" ref="E7">Nossa_SE(D7, "Estoque Baixo", "Estoque Normal")</f>
        <v>Estoque Baixo</v>
      </c>
      <c r="F7" s="19" cm="1">
        <f t="array" ref="F7">Nossa_MULT(C7,D7)</f>
        <v>417</v>
      </c>
    </row>
    <row r="8" spans="1:6" x14ac:dyDescent="0.25">
      <c r="A8" s="17" t="s">
        <v>9</v>
      </c>
      <c r="B8" s="18">
        <v>35</v>
      </c>
      <c r="C8" s="19">
        <v>83.3</v>
      </c>
      <c r="D8" s="18">
        <v>15</v>
      </c>
      <c r="E8" s="19" t="str" cm="1">
        <f t="array" ref="E8">Nossa_SE(D8, "Estoque Baixo", "Estoque Normal")</f>
        <v>Estoque Baixo</v>
      </c>
      <c r="F8" s="19" cm="1">
        <f t="array" ref="F8">Nossa_MULT(C8,D8)</f>
        <v>1249.5</v>
      </c>
    </row>
    <row r="9" spans="1:6" x14ac:dyDescent="0.25">
      <c r="A9" s="4" t="s">
        <v>5</v>
      </c>
      <c r="B9" s="5">
        <v>35</v>
      </c>
      <c r="C9" s="6">
        <v>89.9</v>
      </c>
      <c r="D9" s="5">
        <v>21</v>
      </c>
      <c r="E9" s="6" t="str" cm="1">
        <f t="array" ref="E9">Nossa_SE(D9, "Estoque Baixo", "Estoque Normal")</f>
        <v>Estoque Baixo</v>
      </c>
      <c r="F9" s="6" cm="1">
        <f t="array" ref="F9">Nossa_MULT(C9,D9)</f>
        <v>1887.9</v>
      </c>
    </row>
    <row r="10" spans="1:6" x14ac:dyDescent="0.25">
      <c r="A10" s="17" t="s">
        <v>7</v>
      </c>
      <c r="B10" s="18">
        <v>33</v>
      </c>
      <c r="C10" s="19">
        <v>89.9</v>
      </c>
      <c r="D10" s="18">
        <v>15</v>
      </c>
      <c r="E10" s="19" t="str" cm="1">
        <f t="array" ref="E10">Nossa_SE(D10, "Estoque Baixo", "Estoque Normal")</f>
        <v>Estoque Baixo</v>
      </c>
      <c r="F10" s="19" cm="1">
        <f t="array" ref="F10">Nossa_MULT(C10,D10)</f>
        <v>1348.5</v>
      </c>
    </row>
    <row r="11" spans="1:6" x14ac:dyDescent="0.25">
      <c r="A11" s="17" t="s">
        <v>6</v>
      </c>
      <c r="B11" s="18">
        <v>35</v>
      </c>
      <c r="C11" s="19">
        <v>89.9</v>
      </c>
      <c r="D11" s="18">
        <v>2</v>
      </c>
      <c r="E11" s="19" t="str" cm="1">
        <f t="array" ref="E11">Nossa_SE(D11, "Estoque Baixo", "Estoque Normal")</f>
        <v>Estoque Baixo</v>
      </c>
      <c r="F11" s="19" cm="1">
        <f t="array" ref="F11">Nossa_MULT(C11,D11)</f>
        <v>179.8</v>
      </c>
    </row>
    <row r="12" spans="1:6" x14ac:dyDescent="0.25">
      <c r="A12" s="17" t="s">
        <v>8</v>
      </c>
      <c r="B12" s="18">
        <v>35</v>
      </c>
      <c r="C12" s="19">
        <v>83.3</v>
      </c>
      <c r="D12" s="18">
        <v>2</v>
      </c>
      <c r="E12" s="19" t="str" cm="1">
        <f t="array" ref="E12">Nossa_SE(D12, "Estoque Baixo", "Estoque Normal")</f>
        <v>Estoque Baixo</v>
      </c>
      <c r="F12" s="19" cm="1">
        <f t="array" ref="F12">Nossa_MULT(C12,D12)</f>
        <v>166.6</v>
      </c>
    </row>
    <row r="13" spans="1:6" x14ac:dyDescent="0.25">
      <c r="A13" s="17" t="s">
        <v>10</v>
      </c>
      <c r="B13" s="18">
        <v>35</v>
      </c>
      <c r="C13" s="19">
        <v>83.3</v>
      </c>
      <c r="D13" s="18">
        <v>26</v>
      </c>
      <c r="E13" s="19" t="str" cm="1">
        <f t="array" ref="E13">Nossa_SE(D13, "Estoque Baixo", "Estoque Normal")</f>
        <v>Estoque Baixo</v>
      </c>
      <c r="F13" s="19" cm="1">
        <f t="array" ref="F13">Nossa_MULT(C13,D13)</f>
        <v>2165.7999999999997</v>
      </c>
    </row>
    <row r="14" spans="1:6" x14ac:dyDescent="0.25">
      <c r="A14" s="20" t="s">
        <v>9</v>
      </c>
      <c r="B14" s="18">
        <v>32</v>
      </c>
      <c r="C14" s="19">
        <v>83.3</v>
      </c>
      <c r="D14" s="18">
        <v>9</v>
      </c>
      <c r="E14" s="19" t="str" cm="1">
        <f t="array" ref="E14">Nossa_SE(D14, "Estoque Baixo", "Estoque Normal")</f>
        <v>Estoque Baixo</v>
      </c>
      <c r="F14" s="19" cm="1">
        <f t="array" ref="F14">Nossa_MULT(C14,D14)</f>
        <v>749.69999999999993</v>
      </c>
    </row>
    <row r="15" spans="1:6" x14ac:dyDescent="0.25">
      <c r="A15" s="20" t="s">
        <v>5</v>
      </c>
      <c r="B15" s="21">
        <v>34</v>
      </c>
      <c r="C15" s="22">
        <v>89.9</v>
      </c>
      <c r="D15" s="21">
        <v>4</v>
      </c>
      <c r="E15" s="19" t="str" cm="1">
        <f t="array" ref="E15">Nossa_SE(D15, "Estoque Baixo", "Estoque Normal")</f>
        <v>Estoque Baixo</v>
      </c>
      <c r="F15" s="19" cm="1">
        <f t="array" ref="F15">Nossa_MULT(C15,D15)</f>
        <v>359.6</v>
      </c>
    </row>
    <row r="16" spans="1:6" x14ac:dyDescent="0.25">
      <c r="A16" s="7" t="s">
        <v>7</v>
      </c>
      <c r="B16" s="8">
        <v>34</v>
      </c>
      <c r="C16" s="9">
        <v>89.9</v>
      </c>
      <c r="D16" s="8">
        <v>25</v>
      </c>
      <c r="E16" s="6" t="str" cm="1">
        <f t="array" ref="E16">Nossa_SE(D16, "Estoque Baixo", "Estoque Normal")</f>
        <v>Estoque Baixo</v>
      </c>
      <c r="F16" s="6" cm="1">
        <f t="array" ref="F16">Nossa_MULT(C16,D16)</f>
        <v>2247.5</v>
      </c>
    </row>
    <row r="17" spans="1:6" x14ac:dyDescent="0.25">
      <c r="A17" s="7" t="s">
        <v>6</v>
      </c>
      <c r="B17" s="8">
        <v>34</v>
      </c>
      <c r="C17" s="9">
        <v>89.9</v>
      </c>
      <c r="D17" s="8">
        <v>15</v>
      </c>
      <c r="E17" s="6" t="str" cm="1">
        <f t="array" ref="E17">Nossa_SE(D17, "Estoque Baixo", "Estoque Normal")</f>
        <v>Estoque Baixo</v>
      </c>
      <c r="F17" s="6" cm="1">
        <f t="array" ref="F17">Nossa_MULT(C17,D17)</f>
        <v>1348.5</v>
      </c>
    </row>
    <row r="18" spans="1:6" x14ac:dyDescent="0.25">
      <c r="A18" s="20" t="s">
        <v>8</v>
      </c>
      <c r="B18" s="21">
        <v>34</v>
      </c>
      <c r="C18" s="22">
        <v>83.3</v>
      </c>
      <c r="D18" s="21">
        <v>16</v>
      </c>
      <c r="E18" s="19" t="str" cm="1">
        <f t="array" ref="E18">Nossa_SE(D18, "Estoque Baixo", "Estoque Normal")</f>
        <v>Estoque Baixo</v>
      </c>
      <c r="F18" s="19" cm="1">
        <f t="array" ref="F18">Nossa_MULT(C18,D18)</f>
        <v>1332.8</v>
      </c>
    </row>
    <row r="19" spans="1:6" x14ac:dyDescent="0.25">
      <c r="A19" s="7" t="s">
        <v>10</v>
      </c>
      <c r="B19" s="8">
        <v>34</v>
      </c>
      <c r="C19" s="9">
        <v>83.3</v>
      </c>
      <c r="D19" s="8">
        <v>19</v>
      </c>
      <c r="E19" s="6" t="str" cm="1">
        <f t="array" ref="E19">Nossa_SE(D19, "Estoque Baixo", "Estoque Normal")</f>
        <v>Estoque Baixo</v>
      </c>
      <c r="F19" s="6" cm="1">
        <f t="array" ref="F19">Nossa_MULT(C19,D19)</f>
        <v>1582.7</v>
      </c>
    </row>
    <row r="20" spans="1:6" x14ac:dyDescent="0.25">
      <c r="A20" s="7" t="s">
        <v>9</v>
      </c>
      <c r="B20" s="8">
        <v>34</v>
      </c>
      <c r="C20" s="9">
        <v>83.3</v>
      </c>
      <c r="D20" s="8">
        <v>6</v>
      </c>
      <c r="E20" s="6" t="str" cm="1">
        <f t="array" ref="E20">Nossa_SE(D20, "Estoque Baixo", "Estoque Normal")</f>
        <v>Estoque Baixo</v>
      </c>
      <c r="F20" s="6" cm="1">
        <f t="array" ref="F20">Nossa_MULT(C20,D20)</f>
        <v>499.79999999999995</v>
      </c>
    </row>
    <row r="21" spans="1:6" x14ac:dyDescent="0.25">
      <c r="A21" s="7" t="s">
        <v>5</v>
      </c>
      <c r="B21" s="8">
        <v>33</v>
      </c>
      <c r="C21" s="9">
        <v>89.9</v>
      </c>
      <c r="D21" s="8">
        <v>6</v>
      </c>
      <c r="E21" s="6" t="str" cm="1">
        <f t="array" ref="E21">Nossa_SE(D21, "Estoque Baixo", "Estoque Normal")</f>
        <v>Estoque Baixo</v>
      </c>
      <c r="F21" s="6" cm="1">
        <f t="array" ref="F21">Nossa_MULT(C21,D21)</f>
        <v>539.40000000000009</v>
      </c>
    </row>
    <row r="22" spans="1:6" x14ac:dyDescent="0.25">
      <c r="A22" s="7" t="s">
        <v>7</v>
      </c>
      <c r="B22" s="8">
        <v>33</v>
      </c>
      <c r="C22" s="9">
        <v>89.9</v>
      </c>
      <c r="D22" s="8">
        <v>4</v>
      </c>
      <c r="E22" s="6" t="str" cm="1">
        <f t="array" ref="E22">Nossa_SE(D22, "Estoque Baixo", "Estoque Normal")</f>
        <v>Estoque Baixo</v>
      </c>
      <c r="F22" s="6" cm="1">
        <f t="array" ref="F22">Nossa_MULT(C22,D22)</f>
        <v>359.6</v>
      </c>
    </row>
    <row r="23" spans="1:6" x14ac:dyDescent="0.25">
      <c r="A23" s="4" t="s">
        <v>6</v>
      </c>
      <c r="B23" s="5">
        <v>33</v>
      </c>
      <c r="C23" s="6">
        <v>89.9</v>
      </c>
      <c r="D23" s="5">
        <v>4</v>
      </c>
      <c r="E23" s="6" t="str" cm="1">
        <f t="array" ref="E23">Nossa_SE(D23, "Estoque Baixo", "Estoque Normal")</f>
        <v>Estoque Baixo</v>
      </c>
      <c r="F23" s="6" cm="1">
        <f t="array" ref="F23">Nossa_MULT(C23,D23)</f>
        <v>359.6</v>
      </c>
    </row>
    <row r="24" spans="1:6" x14ac:dyDescent="0.25">
      <c r="A24" s="4" t="s">
        <v>8</v>
      </c>
      <c r="B24" s="5">
        <v>33</v>
      </c>
      <c r="C24" s="6">
        <v>83.3</v>
      </c>
      <c r="D24" s="5">
        <v>15</v>
      </c>
      <c r="E24" s="6" t="str" cm="1">
        <f t="array" ref="E24">Nossa_SE(D24, "Estoque Baixo", "Estoque Normal")</f>
        <v>Estoque Baixo</v>
      </c>
      <c r="F24" s="6" cm="1">
        <f t="array" ref="F24">Nossa_MULT(C24,D24)</f>
        <v>1249.5</v>
      </c>
    </row>
    <row r="25" spans="1:6" x14ac:dyDescent="0.25">
      <c r="A25" s="4" t="s">
        <v>10</v>
      </c>
      <c r="B25" s="5">
        <v>33</v>
      </c>
      <c r="C25" s="6">
        <v>83.3</v>
      </c>
      <c r="D25" s="5">
        <v>5</v>
      </c>
      <c r="E25" s="6" t="str" cm="1">
        <f t="array" ref="E25">Nossa_SE(D25, "Estoque Baixo", "Estoque Normal")</f>
        <v>Estoque Baixo</v>
      </c>
      <c r="F25" s="6" cm="1">
        <f t="array" ref="F25">Nossa_MULT(C25,D25)</f>
        <v>416.5</v>
      </c>
    </row>
    <row r="26" spans="1:6" x14ac:dyDescent="0.25">
      <c r="A26" s="4" t="s">
        <v>9</v>
      </c>
      <c r="B26" s="5">
        <v>33</v>
      </c>
      <c r="C26" s="6">
        <v>83.3</v>
      </c>
      <c r="D26" s="5">
        <v>0</v>
      </c>
      <c r="E26" s="6" t="str" cm="1">
        <f t="array" ref="E26">Nossa_SE(D26, "Estoque Baixo", "Estoque Normal")</f>
        <v>Estoque Baixo</v>
      </c>
      <c r="F26" s="6" cm="1">
        <f t="array" ref="F26">Nossa_MULT(C26,D26)</f>
        <v>0</v>
      </c>
    </row>
    <row r="27" spans="1:6" x14ac:dyDescent="0.25">
      <c r="A27" s="4" t="s">
        <v>5</v>
      </c>
      <c r="B27" s="5">
        <v>32</v>
      </c>
      <c r="C27" s="6">
        <v>89.9</v>
      </c>
      <c r="D27" s="5">
        <v>3</v>
      </c>
      <c r="E27" s="6" t="str" cm="1">
        <f t="array" ref="E27">Nossa_SE(D27, "Estoque Baixo", "Estoque Normal")</f>
        <v>Estoque Baixo</v>
      </c>
      <c r="F27" s="6" cm="1">
        <f t="array" ref="F27">Nossa_MULT(C27,D27)</f>
        <v>269.70000000000005</v>
      </c>
    </row>
    <row r="28" spans="1:6" x14ac:dyDescent="0.25">
      <c r="A28" s="4" t="s">
        <v>7</v>
      </c>
      <c r="B28" s="5">
        <v>32</v>
      </c>
      <c r="C28" s="6">
        <v>89.9</v>
      </c>
      <c r="D28" s="5">
        <v>8</v>
      </c>
      <c r="E28" s="6" t="str" cm="1">
        <f t="array" ref="E28">Nossa_SE(D28, "Estoque Baixo", "Estoque Normal")</f>
        <v>Estoque Baixo</v>
      </c>
      <c r="F28" s="6" cm="1">
        <f t="array" ref="F28">Nossa_MULT(C28,D28)</f>
        <v>719.2</v>
      </c>
    </row>
    <row r="29" spans="1:6" x14ac:dyDescent="0.25">
      <c r="A29" s="4" t="s">
        <v>6</v>
      </c>
      <c r="B29" s="5">
        <v>32</v>
      </c>
      <c r="C29" s="6">
        <v>89.9</v>
      </c>
      <c r="D29" s="5">
        <v>8</v>
      </c>
      <c r="E29" s="6" t="str" cm="1">
        <f t="array" ref="E29">Nossa_SE(D29, "Estoque Baixo", "Estoque Normal")</f>
        <v>Estoque Baixo</v>
      </c>
      <c r="F29" s="6" cm="1">
        <f t="array" ref="F29">Nossa_MULT(C29,D29)</f>
        <v>719.2</v>
      </c>
    </row>
    <row r="30" spans="1:6" x14ac:dyDescent="0.25">
      <c r="A30" s="4" t="s">
        <v>8</v>
      </c>
      <c r="B30" s="5">
        <v>32</v>
      </c>
      <c r="C30" s="6">
        <v>83.3</v>
      </c>
      <c r="D30" s="5">
        <v>5</v>
      </c>
      <c r="E30" s="6" t="str" cm="1">
        <f t="array" ref="E30">Nossa_SE(D30, "Estoque Baixo", "Estoque Normal")</f>
        <v>Estoque Baixo</v>
      </c>
      <c r="F30" s="6" cm="1">
        <f t="array" ref="F30">Nossa_MULT(C30,D30)</f>
        <v>416.5</v>
      </c>
    </row>
    <row r="31" spans="1:6" x14ac:dyDescent="0.25">
      <c r="A31" s="4" t="s">
        <v>10</v>
      </c>
      <c r="B31" s="5">
        <v>32</v>
      </c>
      <c r="C31" s="6">
        <v>83.3</v>
      </c>
      <c r="D31" s="5">
        <v>0</v>
      </c>
      <c r="E31" s="6" t="str" cm="1">
        <f t="array" ref="E31">Nossa_SE(D31, "Estoque Baixo", "Estoque Normal")</f>
        <v>Estoque Baixo</v>
      </c>
      <c r="F31" s="6" cm="1">
        <f t="array" ref="F31">Nossa_MULT(C31,D31)</f>
        <v>0</v>
      </c>
    </row>
    <row r="32" spans="1:6" x14ac:dyDescent="0.25">
      <c r="A32" s="4" t="s">
        <v>9</v>
      </c>
      <c r="B32" s="5">
        <v>32</v>
      </c>
      <c r="C32" s="6">
        <v>83.3</v>
      </c>
      <c r="D32" s="5">
        <v>0</v>
      </c>
      <c r="E32" s="6" t="str" cm="1">
        <f t="array" ref="E32">Nossa_SE(D32, "Estoque Baixo", "Estoque Normal")</f>
        <v>Estoque Baixo</v>
      </c>
      <c r="F32" s="6" cm="1">
        <f t="array" ref="F32">Nossa_MULT(C32,D32)</f>
        <v>0</v>
      </c>
    </row>
    <row r="33" spans="1:6" x14ac:dyDescent="0.25">
      <c r="A33" s="4" t="s">
        <v>5</v>
      </c>
      <c r="B33" s="5">
        <v>31</v>
      </c>
      <c r="C33" s="6">
        <v>89.9</v>
      </c>
      <c r="D33" s="5">
        <v>8</v>
      </c>
      <c r="E33" s="6" t="str" cm="1">
        <f t="array" ref="E33">Nossa_SE(D33, "Estoque Baixo", "Estoque Normal")</f>
        <v>Estoque Baixo</v>
      </c>
      <c r="F33" s="6" cm="1">
        <f t="array" ref="F33">Nossa_MULT(C33,D33)</f>
        <v>719.2</v>
      </c>
    </row>
    <row r="34" spans="1:6" x14ac:dyDescent="0.25">
      <c r="A34" s="7" t="s">
        <v>7</v>
      </c>
      <c r="B34" s="8">
        <v>31</v>
      </c>
      <c r="C34" s="9">
        <v>89.9</v>
      </c>
      <c r="D34" s="8">
        <v>23</v>
      </c>
      <c r="E34" s="6" t="str" cm="1">
        <f t="array" ref="E34">Nossa_SE(D34, "Estoque Baixo", "Estoque Normal")</f>
        <v>Estoque Baixo</v>
      </c>
      <c r="F34" s="6" cm="1">
        <f t="array" ref="F34">Nossa_MULT(C34,D34)</f>
        <v>2067.7000000000003</v>
      </c>
    </row>
    <row r="35" spans="1:6" x14ac:dyDescent="0.25">
      <c r="A35" s="7" t="s">
        <v>6</v>
      </c>
      <c r="B35" s="8">
        <v>31</v>
      </c>
      <c r="C35" s="9">
        <v>89.9</v>
      </c>
      <c r="D35" s="8">
        <v>15</v>
      </c>
      <c r="E35" s="6" t="str" cm="1">
        <f t="array" ref="E35">Nossa_SE(D35, "Estoque Baixo", "Estoque Normal")</f>
        <v>Estoque Baixo</v>
      </c>
      <c r="F35" s="6" cm="1">
        <f t="array" ref="F35">Nossa_MULT(C35,D35)</f>
        <v>1348.5</v>
      </c>
    </row>
    <row r="36" spans="1:6" x14ac:dyDescent="0.25">
      <c r="A36" s="7" t="s">
        <v>8</v>
      </c>
      <c r="B36" s="8">
        <v>31</v>
      </c>
      <c r="C36" s="9">
        <v>83.3</v>
      </c>
      <c r="D36" s="8">
        <v>4</v>
      </c>
      <c r="E36" s="6" t="str" cm="1">
        <f t="array" ref="E36">Nossa_SE(D36, "Estoque Baixo", "Estoque Normal")</f>
        <v>Estoque Baixo</v>
      </c>
      <c r="F36" s="6" cm="1">
        <f t="array" ref="F36">Nossa_MULT(C36,D36)</f>
        <v>333.2</v>
      </c>
    </row>
    <row r="37" spans="1:6" x14ac:dyDescent="0.25">
      <c r="A37" s="7" t="s">
        <v>10</v>
      </c>
      <c r="B37" s="8">
        <v>31</v>
      </c>
      <c r="C37" s="9">
        <v>83.3</v>
      </c>
      <c r="D37" s="8">
        <v>6</v>
      </c>
      <c r="E37" s="6" t="str" cm="1">
        <f t="array" ref="E37">Nossa_SE(D37, "Estoque Baixo", "Estoque Normal")</f>
        <v>Estoque Baixo</v>
      </c>
      <c r="F37" s="6" cm="1">
        <f t="array" ref="F37">Nossa_MULT(C37,D37)</f>
        <v>499.79999999999995</v>
      </c>
    </row>
    <row r="38" spans="1:6" x14ac:dyDescent="0.25">
      <c r="A38" s="7" t="s">
        <v>9</v>
      </c>
      <c r="B38" s="8">
        <v>31</v>
      </c>
      <c r="C38" s="9">
        <v>83.3</v>
      </c>
      <c r="D38" s="8">
        <v>20</v>
      </c>
      <c r="E38" s="6" t="str" cm="1">
        <f t="array" ref="E38">Nossa_SE(D38, "Estoque Baixo", "Estoque Normal")</f>
        <v>Estoque Baixo</v>
      </c>
      <c r="F38" s="6" cm="1">
        <f t="array" ref="F38">Nossa_MULT(C38,D38)</f>
        <v>1666</v>
      </c>
    </row>
    <row r="39" spans="1:6" x14ac:dyDescent="0.25">
      <c r="A39" s="7" t="s">
        <v>5</v>
      </c>
      <c r="B39" s="8">
        <v>30</v>
      </c>
      <c r="C39" s="9">
        <v>89.9</v>
      </c>
      <c r="D39" s="8">
        <v>25</v>
      </c>
      <c r="E39" s="6" t="str" cm="1">
        <f t="array" ref="E39">Nossa_SE(D39, "Estoque Baixo", "Estoque Normal")</f>
        <v>Estoque Baixo</v>
      </c>
      <c r="F39" s="6" cm="1">
        <f t="array" ref="F39">Nossa_MULT(C39,D39)</f>
        <v>2247.5</v>
      </c>
    </row>
    <row r="40" spans="1:6" x14ac:dyDescent="0.25">
      <c r="A40" s="7" t="s">
        <v>7</v>
      </c>
      <c r="B40" s="8">
        <v>30</v>
      </c>
      <c r="C40" s="9">
        <v>89.9</v>
      </c>
      <c r="D40" s="8">
        <v>3</v>
      </c>
      <c r="E40" s="6" t="str" cm="1">
        <f t="array" ref="E40">Nossa_SE(D40, "Estoque Baixo", "Estoque Normal")</f>
        <v>Estoque Baixo</v>
      </c>
      <c r="F40" s="6" cm="1">
        <f t="array" ref="F40">Nossa_MULT(C40,D40)</f>
        <v>269.70000000000005</v>
      </c>
    </row>
    <row r="41" spans="1:6" x14ac:dyDescent="0.25">
      <c r="A41" s="7" t="s">
        <v>6</v>
      </c>
      <c r="B41" s="8">
        <v>30</v>
      </c>
      <c r="C41" s="9">
        <v>89.9</v>
      </c>
      <c r="D41" s="8">
        <v>6</v>
      </c>
      <c r="E41" s="6" t="str" cm="1">
        <f t="array" ref="E41">Nossa_SE(D41, "Estoque Baixo", "Estoque Normal")</f>
        <v>Estoque Baixo</v>
      </c>
      <c r="F41" s="6" cm="1">
        <f t="array" ref="F41">Nossa_MULT(C41,D41)</f>
        <v>539.40000000000009</v>
      </c>
    </row>
    <row r="42" spans="1:6" x14ac:dyDescent="0.25">
      <c r="A42" s="7" t="s">
        <v>8</v>
      </c>
      <c r="B42" s="8">
        <v>30</v>
      </c>
      <c r="C42" s="9">
        <v>83.3</v>
      </c>
      <c r="D42" s="8">
        <v>0</v>
      </c>
      <c r="E42" s="6" t="str" cm="1">
        <f t="array" ref="E42">Nossa_SE(D42, "Estoque Baixo", "Estoque Normal")</f>
        <v>Estoque Baixo</v>
      </c>
      <c r="F42" s="6" cm="1">
        <f t="array" ref="F42">Nossa_MULT(C42,D42)</f>
        <v>0</v>
      </c>
    </row>
    <row r="43" spans="1:6" x14ac:dyDescent="0.25">
      <c r="A43" s="4" t="s">
        <v>10</v>
      </c>
      <c r="B43" s="5">
        <v>30</v>
      </c>
      <c r="C43" s="6">
        <v>83.3</v>
      </c>
      <c r="D43" s="5">
        <v>3</v>
      </c>
      <c r="E43" s="6" t="str" cm="1">
        <f t="array" ref="E43">Nossa_SE(D43, "Estoque Baixo", "Estoque Normal")</f>
        <v>Estoque Baixo</v>
      </c>
      <c r="F43" s="6" cm="1">
        <f t="array" ref="F43">Nossa_MULT(C43,D43)</f>
        <v>249.89999999999998</v>
      </c>
    </row>
    <row r="44" spans="1:6" x14ac:dyDescent="0.25">
      <c r="A44" s="4" t="s">
        <v>9</v>
      </c>
      <c r="B44" s="5">
        <v>30</v>
      </c>
      <c r="C44" s="6">
        <v>83.3</v>
      </c>
      <c r="D44" s="5">
        <v>16</v>
      </c>
      <c r="E44" s="6" t="str" cm="1">
        <f t="array" ref="E44">Nossa_SE(D44, "Estoque Baixo", "Estoque Normal")</f>
        <v>Estoque Baixo</v>
      </c>
      <c r="F44" s="6" cm="1">
        <f t="array" ref="F44">Nossa_MULT(C44,D44)</f>
        <v>1332.8</v>
      </c>
    </row>
    <row r="45" spans="1:6" x14ac:dyDescent="0.25">
      <c r="A45" s="4" t="s">
        <v>5</v>
      </c>
      <c r="B45" s="5">
        <v>29</v>
      </c>
      <c r="C45" s="6">
        <v>89.9</v>
      </c>
      <c r="D45" s="5">
        <v>0</v>
      </c>
      <c r="E45" s="6" t="str" cm="1">
        <f t="array" ref="E45">Nossa_SE(D45, "Estoque Baixo", "Estoque Normal")</f>
        <v>Estoque Baixo</v>
      </c>
      <c r="F45" s="6" cm="1">
        <f t="array" ref="F45">Nossa_MULT(C45,D45)</f>
        <v>0</v>
      </c>
    </row>
    <row r="46" spans="1:6" x14ac:dyDescent="0.25">
      <c r="A46" s="4" t="s">
        <v>7</v>
      </c>
      <c r="B46" s="5">
        <v>29</v>
      </c>
      <c r="C46" s="6">
        <v>89.9</v>
      </c>
      <c r="D46" s="5">
        <v>1</v>
      </c>
      <c r="E46" s="6" t="str" cm="1">
        <f t="array" ref="E46">Nossa_SE(D46, "Estoque Baixo", "Estoque Normal")</f>
        <v>Estoque Baixo</v>
      </c>
      <c r="F46" s="6" cm="1">
        <f t="array" ref="F46">Nossa_MULT(C46,D46)</f>
        <v>89.9</v>
      </c>
    </row>
    <row r="47" spans="1:6" x14ac:dyDescent="0.25">
      <c r="A47" s="4" t="s">
        <v>6</v>
      </c>
      <c r="B47" s="5">
        <v>29</v>
      </c>
      <c r="C47" s="6">
        <v>89.9</v>
      </c>
      <c r="D47" s="5">
        <v>8</v>
      </c>
      <c r="E47" s="6" t="str" cm="1">
        <f t="array" ref="E47">Nossa_SE(D47, "Estoque Baixo", "Estoque Normal")</f>
        <v>Estoque Baixo</v>
      </c>
      <c r="F47" s="6" cm="1">
        <f t="array" ref="F47">Nossa_MULT(C47,D47)</f>
        <v>719.2</v>
      </c>
    </row>
    <row r="48" spans="1:6" x14ac:dyDescent="0.25">
      <c r="A48" s="4" t="s">
        <v>8</v>
      </c>
      <c r="B48" s="5">
        <v>29</v>
      </c>
      <c r="C48" s="6">
        <v>83.3</v>
      </c>
      <c r="D48" s="5">
        <v>5</v>
      </c>
      <c r="E48" s="6" t="str" cm="1">
        <f t="array" ref="E48">Nossa_SE(D48, "Estoque Baixo", "Estoque Normal")</f>
        <v>Estoque Baixo</v>
      </c>
      <c r="F48" s="6" cm="1">
        <f t="array" ref="F48">Nossa_MULT(C48,D48)</f>
        <v>416.5</v>
      </c>
    </row>
    <row r="49" spans="1:6" x14ac:dyDescent="0.25">
      <c r="A49" s="4" t="s">
        <v>10</v>
      </c>
      <c r="B49" s="5">
        <v>29</v>
      </c>
      <c r="C49" s="6">
        <v>83.3</v>
      </c>
      <c r="D49" s="5">
        <v>2</v>
      </c>
      <c r="E49" s="6" t="str" cm="1">
        <f t="array" ref="E49">Nossa_SE(D49, "Estoque Baixo", "Estoque Normal")</f>
        <v>Estoque Baixo</v>
      </c>
      <c r="F49" s="6" cm="1">
        <f t="array" ref="F49">Nossa_MULT(C49,D49)</f>
        <v>166.6</v>
      </c>
    </row>
    <row r="50" spans="1:6" x14ac:dyDescent="0.25">
      <c r="A50" s="4" t="s">
        <v>9</v>
      </c>
      <c r="B50" s="5">
        <v>29</v>
      </c>
      <c r="C50" s="6">
        <v>83.3</v>
      </c>
      <c r="D50" s="5">
        <v>7</v>
      </c>
      <c r="E50" s="6" t="str" cm="1">
        <f t="array" ref="E50">Nossa_SE(D50, "Estoque Baixo", "Estoque Normal")</f>
        <v>Estoque Baixo</v>
      </c>
      <c r="F50" s="6" cm="1">
        <f t="array" ref="F50">Nossa_MULT(C50,D50)</f>
        <v>583.1</v>
      </c>
    </row>
    <row r="51" spans="1:6" x14ac:dyDescent="0.25">
      <c r="A51" s="4" t="s">
        <v>5</v>
      </c>
      <c r="B51" s="5">
        <v>28</v>
      </c>
      <c r="C51" s="6">
        <v>89.9</v>
      </c>
      <c r="D51" s="5">
        <v>5</v>
      </c>
      <c r="E51" s="6" t="str" cm="1">
        <f t="array" ref="E51">Nossa_SE(D51, "Estoque Baixo", "Estoque Normal")</f>
        <v>Estoque Baixo</v>
      </c>
      <c r="F51" s="6" cm="1">
        <f t="array" ref="F51">Nossa_MULT(C51,D51)</f>
        <v>449.5</v>
      </c>
    </row>
    <row r="52" spans="1:6" x14ac:dyDescent="0.25">
      <c r="A52" s="4" t="s">
        <v>7</v>
      </c>
      <c r="B52" s="5">
        <v>28</v>
      </c>
      <c r="C52" s="6">
        <v>89.9</v>
      </c>
      <c r="D52" s="5">
        <v>21</v>
      </c>
      <c r="E52" s="6" t="str" cm="1">
        <f t="array" ref="E52">Nossa_SE(D52, "Estoque Baixo", "Estoque Normal")</f>
        <v>Estoque Baixo</v>
      </c>
      <c r="F52" s="6" cm="1">
        <f t="array" ref="F52">Nossa_MULT(C52,D52)</f>
        <v>1887.9</v>
      </c>
    </row>
    <row r="53" spans="1:6" x14ac:dyDescent="0.25">
      <c r="A53" s="4" t="s">
        <v>6</v>
      </c>
      <c r="B53" s="5">
        <v>28</v>
      </c>
      <c r="C53" s="6">
        <v>89.9</v>
      </c>
      <c r="D53" s="5">
        <v>5</v>
      </c>
      <c r="E53" s="6" t="str" cm="1">
        <f t="array" ref="E53">Nossa_SE(D53, "Estoque Baixo", "Estoque Normal")</f>
        <v>Estoque Baixo</v>
      </c>
      <c r="F53" s="6" cm="1">
        <f t="array" ref="F53">Nossa_MULT(C53,D53)</f>
        <v>449.5</v>
      </c>
    </row>
    <row r="54" spans="1:6" x14ac:dyDescent="0.25">
      <c r="A54" s="7" t="s">
        <v>8</v>
      </c>
      <c r="B54" s="8">
        <v>28</v>
      </c>
      <c r="C54" s="9">
        <v>83.3</v>
      </c>
      <c r="D54" s="8">
        <v>29</v>
      </c>
      <c r="E54" s="6" t="str" cm="1">
        <f t="array" ref="E54">Nossa_SE(D54, "Estoque Baixo", "Estoque Normal")</f>
        <v>Estoque Baixo</v>
      </c>
      <c r="F54" s="6" cm="1">
        <f t="array" ref="F54">Nossa_MULT(C54,D54)</f>
        <v>2415.6999999999998</v>
      </c>
    </row>
    <row r="55" spans="1:6" x14ac:dyDescent="0.25">
      <c r="A55" s="7" t="s">
        <v>10</v>
      </c>
      <c r="B55" s="8">
        <v>28</v>
      </c>
      <c r="C55" s="9">
        <v>83.3</v>
      </c>
      <c r="D55" s="8">
        <v>18</v>
      </c>
      <c r="E55" s="6" t="str" cm="1">
        <f t="array" ref="E55">Nossa_SE(D55, "Estoque Baixo", "Estoque Normal")</f>
        <v>Estoque Baixo</v>
      </c>
      <c r="F55" s="6" cm="1">
        <f t="array" ref="F55">Nossa_MULT(C55,D55)</f>
        <v>1499.3999999999999</v>
      </c>
    </row>
    <row r="56" spans="1:6" x14ac:dyDescent="0.25">
      <c r="A56" s="7" t="s">
        <v>9</v>
      </c>
      <c r="B56" s="8">
        <v>28</v>
      </c>
      <c r="C56" s="9">
        <v>83.3</v>
      </c>
      <c r="D56" s="8">
        <v>8</v>
      </c>
      <c r="E56" s="6" t="str" cm="1">
        <f t="array" ref="E56">Nossa_SE(D56, "Estoque Baixo", "Estoque Normal")</f>
        <v>Estoque Baixo</v>
      </c>
      <c r="F56" s="6" cm="1">
        <f t="array" ref="F56">Nossa_MULT(C56,D56)</f>
        <v>666.4</v>
      </c>
    </row>
    <row r="57" spans="1:6" x14ac:dyDescent="0.25">
      <c r="A57" s="7" t="s">
        <v>5</v>
      </c>
      <c r="B57" s="8">
        <v>27</v>
      </c>
      <c r="C57" s="9">
        <v>85.5</v>
      </c>
      <c r="D57" s="8">
        <v>23</v>
      </c>
      <c r="E57" s="6" t="str" cm="1">
        <f t="array" ref="E57">Nossa_SE(D57, "Estoque Baixo", "Estoque Normal")</f>
        <v>Estoque Baixo</v>
      </c>
      <c r="F57" s="6" cm="1">
        <f t="array" ref="F57">Nossa_MULT(C57,D57)</f>
        <v>1966.5</v>
      </c>
    </row>
    <row r="58" spans="1:6" x14ac:dyDescent="0.25">
      <c r="A58" s="7" t="s">
        <v>7</v>
      </c>
      <c r="B58" s="8">
        <v>27</v>
      </c>
      <c r="C58" s="9">
        <v>85.5</v>
      </c>
      <c r="D58" s="8">
        <v>26</v>
      </c>
      <c r="E58" s="6" t="str" cm="1">
        <f t="array" ref="E58">Nossa_SE(D58, "Estoque Baixo", "Estoque Normal")</f>
        <v>Estoque Baixo</v>
      </c>
      <c r="F58" s="6" cm="1">
        <f t="array" ref="F58">Nossa_MULT(C58,D58)</f>
        <v>2223</v>
      </c>
    </row>
    <row r="59" spans="1:6" x14ac:dyDescent="0.25">
      <c r="A59" s="7" t="s">
        <v>6</v>
      </c>
      <c r="B59" s="8">
        <v>27</v>
      </c>
      <c r="C59" s="9">
        <v>85.5</v>
      </c>
      <c r="D59" s="8">
        <v>30</v>
      </c>
      <c r="E59" s="6" t="str" cm="1">
        <f t="array" ref="E59">Nossa_SE(D59, "Estoque Baixo", "Estoque Normal")</f>
        <v>Estoque Normal</v>
      </c>
      <c r="F59" s="6" cm="1">
        <f t="array" ref="F59">Nossa_MULT(C59,D59)</f>
        <v>2565</v>
      </c>
    </row>
    <row r="60" spans="1:6" x14ac:dyDescent="0.25">
      <c r="A60" s="7" t="s">
        <v>8</v>
      </c>
      <c r="B60" s="8">
        <v>27</v>
      </c>
      <c r="C60" s="9">
        <v>79.8</v>
      </c>
      <c r="D60" s="8">
        <v>15</v>
      </c>
      <c r="E60" s="6" t="str" cm="1">
        <f t="array" ref="E60">Nossa_SE(D60, "Estoque Baixo", "Estoque Normal")</f>
        <v>Estoque Baixo</v>
      </c>
      <c r="F60" s="6" cm="1">
        <f t="array" ref="F60">Nossa_MULT(C60,D60)</f>
        <v>1197</v>
      </c>
    </row>
    <row r="61" spans="1:6" x14ac:dyDescent="0.25">
      <c r="A61" s="7" t="s">
        <v>10</v>
      </c>
      <c r="B61" s="8">
        <v>27</v>
      </c>
      <c r="C61" s="9">
        <v>79.8</v>
      </c>
      <c r="D61" s="8">
        <v>18</v>
      </c>
      <c r="E61" s="6" t="str" cm="1">
        <f t="array" ref="E61">Nossa_SE(D61, "Estoque Baixo", "Estoque Normal")</f>
        <v>Estoque Baixo</v>
      </c>
      <c r="F61" s="6" cm="1">
        <f t="array" ref="F61">Nossa_MULT(C61,D61)</f>
        <v>1436.3999999999999</v>
      </c>
    </row>
    <row r="62" spans="1:6" x14ac:dyDescent="0.25">
      <c r="A62" s="7" t="s">
        <v>9</v>
      </c>
      <c r="B62" s="8">
        <v>27</v>
      </c>
      <c r="C62" s="9">
        <v>79.8</v>
      </c>
      <c r="D62" s="8">
        <v>2</v>
      </c>
      <c r="E62" s="6" t="str" cm="1">
        <f t="array" ref="E62">Nossa_SE(D62, "Estoque Baixo", "Estoque Normal")</f>
        <v>Estoque Baixo</v>
      </c>
      <c r="F62" s="6" cm="1">
        <f t="array" ref="F62">Nossa_MULT(C62,D62)</f>
        <v>159.6</v>
      </c>
    </row>
    <row r="63" spans="1:6" x14ac:dyDescent="0.25">
      <c r="A63" s="4" t="s">
        <v>5</v>
      </c>
      <c r="B63" s="5">
        <v>26</v>
      </c>
      <c r="C63" s="6">
        <v>85.5</v>
      </c>
      <c r="D63" s="5">
        <v>26</v>
      </c>
      <c r="E63" s="6" t="str" cm="1">
        <f t="array" ref="E63">Nossa_SE(D63, "Estoque Baixo", "Estoque Normal")</f>
        <v>Estoque Baixo</v>
      </c>
      <c r="F63" s="6" cm="1">
        <f t="array" ref="F63">Nossa_MULT(C63,D63)</f>
        <v>2223</v>
      </c>
    </row>
    <row r="64" spans="1:6" x14ac:dyDescent="0.25">
      <c r="A64" s="4" t="s">
        <v>7</v>
      </c>
      <c r="B64" s="5">
        <v>26</v>
      </c>
      <c r="C64" s="6">
        <v>85.5</v>
      </c>
      <c r="D64" s="5">
        <v>25</v>
      </c>
      <c r="E64" s="6" t="str" cm="1">
        <f t="array" ref="E64">Nossa_SE(D64, "Estoque Baixo", "Estoque Normal")</f>
        <v>Estoque Baixo</v>
      </c>
      <c r="F64" s="6" cm="1">
        <f t="array" ref="F64">Nossa_MULT(C64,D64)</f>
        <v>2137.5</v>
      </c>
    </row>
    <row r="65" spans="1:6" x14ac:dyDescent="0.25">
      <c r="A65" s="4" t="s">
        <v>6</v>
      </c>
      <c r="B65" s="5">
        <v>26</v>
      </c>
      <c r="C65" s="6">
        <v>85.5</v>
      </c>
      <c r="D65" s="5">
        <v>8</v>
      </c>
      <c r="E65" s="6" t="str" cm="1">
        <f t="array" ref="E65">Nossa_SE(D65, "Estoque Baixo", "Estoque Normal")</f>
        <v>Estoque Baixo</v>
      </c>
      <c r="F65" s="6" cm="1">
        <f t="array" ref="F65">Nossa_MULT(C65,D65)</f>
        <v>684</v>
      </c>
    </row>
    <row r="66" spans="1:6" x14ac:dyDescent="0.25">
      <c r="A66" s="4" t="s">
        <v>8</v>
      </c>
      <c r="B66" s="5">
        <v>26</v>
      </c>
      <c r="C66" s="6">
        <v>79.8</v>
      </c>
      <c r="D66" s="5">
        <v>14</v>
      </c>
      <c r="E66" s="6" t="str" cm="1">
        <f t="array" ref="E66">Nossa_SE(D66, "Estoque Baixo", "Estoque Normal")</f>
        <v>Estoque Baixo</v>
      </c>
      <c r="F66" s="6" cm="1">
        <f t="array" ref="F66">Nossa_MULT(C66,D66)</f>
        <v>1117.2</v>
      </c>
    </row>
    <row r="67" spans="1:6" x14ac:dyDescent="0.25">
      <c r="A67" s="4" t="s">
        <v>10</v>
      </c>
      <c r="B67" s="5">
        <v>26</v>
      </c>
      <c r="C67" s="6">
        <v>79.8</v>
      </c>
      <c r="D67" s="5">
        <v>15</v>
      </c>
      <c r="E67" s="6" t="str" cm="1">
        <f t="array" ref="E67">Nossa_SE(D67, "Estoque Baixo", "Estoque Normal")</f>
        <v>Estoque Baixo</v>
      </c>
      <c r="F67" s="6" cm="1">
        <f t="array" ref="F67">Nossa_MULT(C67,D67)</f>
        <v>1197</v>
      </c>
    </row>
    <row r="68" spans="1:6" x14ac:dyDescent="0.25">
      <c r="A68" s="4" t="s">
        <v>9</v>
      </c>
      <c r="B68" s="5">
        <v>26</v>
      </c>
      <c r="C68" s="6">
        <v>79.8</v>
      </c>
      <c r="D68" s="5">
        <v>25</v>
      </c>
      <c r="E68" s="6" t="str" cm="1">
        <f t="array" ref="E68">Nossa_SE(D68, "Estoque Baixo", "Estoque Normal")</f>
        <v>Estoque Baixo</v>
      </c>
      <c r="F68" s="6" cm="1">
        <f t="array" ref="F68">Nossa_MULT(C68,D68)</f>
        <v>1995</v>
      </c>
    </row>
    <row r="69" spans="1:6" x14ac:dyDescent="0.25">
      <c r="A69" s="4" t="s">
        <v>5</v>
      </c>
      <c r="B69" s="5">
        <v>25</v>
      </c>
      <c r="C69" s="6">
        <v>85.5</v>
      </c>
      <c r="D69" s="5">
        <v>2</v>
      </c>
      <c r="E69" s="6" t="str" cm="1">
        <f t="array" ref="E69">Nossa_SE(D69, "Estoque Baixo", "Estoque Normal")</f>
        <v>Estoque Baixo</v>
      </c>
      <c r="F69" s="6" cm="1">
        <f t="array" ref="F69">Nossa_MULT(C69,D69)</f>
        <v>171</v>
      </c>
    </row>
    <row r="70" spans="1:6" x14ac:dyDescent="0.25">
      <c r="A70" s="4" t="s">
        <v>7</v>
      </c>
      <c r="B70" s="5">
        <v>25</v>
      </c>
      <c r="C70" s="6">
        <v>85.5</v>
      </c>
      <c r="D70" s="5">
        <v>19</v>
      </c>
      <c r="E70" s="6" t="str" cm="1">
        <f t="array" ref="E70">Nossa_SE(D70, "Estoque Baixo", "Estoque Normal")</f>
        <v>Estoque Baixo</v>
      </c>
      <c r="F70" s="6" cm="1">
        <f t="array" ref="F70">Nossa_MULT(C70,D70)</f>
        <v>1624.5</v>
      </c>
    </row>
    <row r="71" spans="1:6" x14ac:dyDescent="0.25">
      <c r="A71" s="4" t="s">
        <v>6</v>
      </c>
      <c r="B71" s="5">
        <v>25</v>
      </c>
      <c r="C71" s="6">
        <v>85.5</v>
      </c>
      <c r="D71" s="5">
        <v>6</v>
      </c>
      <c r="E71" s="6" t="str" cm="1">
        <f t="array" ref="E71">Nossa_SE(D71, "Estoque Baixo", "Estoque Normal")</f>
        <v>Estoque Baixo</v>
      </c>
      <c r="F71" s="6" cm="1">
        <f t="array" ref="F71">Nossa_MULT(C71,D71)</f>
        <v>513</v>
      </c>
    </row>
    <row r="72" spans="1:6" x14ac:dyDescent="0.25">
      <c r="A72" s="4" t="s">
        <v>8</v>
      </c>
      <c r="B72" s="5">
        <v>25</v>
      </c>
      <c r="C72" s="6">
        <v>79.8</v>
      </c>
      <c r="D72" s="5">
        <v>16</v>
      </c>
      <c r="E72" s="6" t="str" cm="1">
        <f t="array" ref="E72">Nossa_SE(D72, "Estoque Baixo", "Estoque Normal")</f>
        <v>Estoque Baixo</v>
      </c>
      <c r="F72" s="6" cm="1">
        <f t="array" ref="F72">Nossa_MULT(C72,D72)</f>
        <v>1276.8</v>
      </c>
    </row>
    <row r="73" spans="1:6" x14ac:dyDescent="0.25">
      <c r="A73" s="4" t="s">
        <v>10</v>
      </c>
      <c r="B73" s="5">
        <v>25</v>
      </c>
      <c r="C73" s="6">
        <v>79.8</v>
      </c>
      <c r="D73" s="5">
        <v>9</v>
      </c>
      <c r="E73" s="6" t="str" cm="1">
        <f t="array" ref="E73">Nossa_SE(D73, "Estoque Baixo", "Estoque Normal")</f>
        <v>Estoque Baixo</v>
      </c>
      <c r="F73" s="6" cm="1">
        <f t="array" ref="F73">Nossa_MULT(C73,D73)</f>
        <v>718.19999999999993</v>
      </c>
    </row>
    <row r="74" spans="1:6" x14ac:dyDescent="0.25">
      <c r="A74" s="7" t="s">
        <v>9</v>
      </c>
      <c r="B74" s="8">
        <v>25</v>
      </c>
      <c r="C74" s="9">
        <v>79.8</v>
      </c>
      <c r="D74" s="8">
        <v>15</v>
      </c>
      <c r="E74" s="6" t="str" cm="1">
        <f t="array" ref="E74">Nossa_SE(D74, "Estoque Baixo", "Estoque Normal")</f>
        <v>Estoque Baixo</v>
      </c>
      <c r="F74" s="6" cm="1">
        <f t="array" ref="F74">Nossa_MULT(C74,D74)</f>
        <v>1197</v>
      </c>
    </row>
    <row r="75" spans="1:6" x14ac:dyDescent="0.25">
      <c r="A75" s="7" t="s">
        <v>5</v>
      </c>
      <c r="B75" s="8">
        <v>24</v>
      </c>
      <c r="C75" s="9">
        <v>85.5</v>
      </c>
      <c r="D75" s="8">
        <v>25</v>
      </c>
      <c r="E75" s="6" t="str" cm="1">
        <f t="array" ref="E75">Nossa_SE(D75, "Estoque Baixo", "Estoque Normal")</f>
        <v>Estoque Baixo</v>
      </c>
      <c r="F75" s="6" cm="1">
        <f t="array" ref="F75">Nossa_MULT(C75,D75)</f>
        <v>2137.5</v>
      </c>
    </row>
    <row r="76" spans="1:6" x14ac:dyDescent="0.25">
      <c r="A76" s="7" t="s">
        <v>7</v>
      </c>
      <c r="B76" s="8">
        <v>24</v>
      </c>
      <c r="C76" s="9">
        <v>85.5</v>
      </c>
      <c r="D76" s="8">
        <v>16</v>
      </c>
      <c r="E76" s="6" t="str" cm="1">
        <f t="array" ref="E76">Nossa_SE(D76, "Estoque Baixo", "Estoque Normal")</f>
        <v>Estoque Baixo</v>
      </c>
      <c r="F76" s="6" cm="1">
        <f t="array" ref="F76">Nossa_MULT(C76,D76)</f>
        <v>1368</v>
      </c>
    </row>
    <row r="77" spans="1:6" x14ac:dyDescent="0.25">
      <c r="A77" s="7" t="s">
        <v>6</v>
      </c>
      <c r="B77" s="8">
        <v>24</v>
      </c>
      <c r="C77" s="9">
        <v>85.5</v>
      </c>
      <c r="D77" s="8">
        <v>25</v>
      </c>
      <c r="E77" s="6" t="str" cm="1">
        <f t="array" ref="E77">Nossa_SE(D77, "Estoque Baixo", "Estoque Normal")</f>
        <v>Estoque Baixo</v>
      </c>
      <c r="F77" s="6" cm="1">
        <f t="array" ref="F77">Nossa_MULT(C77,D77)</f>
        <v>2137.5</v>
      </c>
    </row>
    <row r="78" spans="1:6" x14ac:dyDescent="0.25">
      <c r="A78" s="7" t="s">
        <v>8</v>
      </c>
      <c r="B78" s="8">
        <v>24</v>
      </c>
      <c r="C78" s="9">
        <v>79.8</v>
      </c>
      <c r="D78" s="8">
        <v>15</v>
      </c>
      <c r="E78" s="6" t="str" cm="1">
        <f t="array" ref="E78">Nossa_SE(D78, "Estoque Baixo", "Estoque Normal")</f>
        <v>Estoque Baixo</v>
      </c>
      <c r="F78" s="6" cm="1">
        <f t="array" ref="F78">Nossa_MULT(C78,D78)</f>
        <v>1197</v>
      </c>
    </row>
    <row r="79" spans="1:6" x14ac:dyDescent="0.25">
      <c r="A79" s="7" t="s">
        <v>10</v>
      </c>
      <c r="B79" s="8">
        <v>24</v>
      </c>
      <c r="C79" s="9">
        <v>79.8</v>
      </c>
      <c r="D79" s="8">
        <v>8</v>
      </c>
      <c r="E79" s="6" t="str" cm="1">
        <f t="array" ref="E79">Nossa_SE(D79, "Estoque Baixo", "Estoque Normal")</f>
        <v>Estoque Baixo</v>
      </c>
      <c r="F79" s="6" cm="1">
        <f t="array" ref="F79">Nossa_MULT(C79,D79)</f>
        <v>638.4</v>
      </c>
    </row>
    <row r="80" spans="1:6" x14ac:dyDescent="0.25">
      <c r="A80" s="7" t="s">
        <v>9</v>
      </c>
      <c r="B80" s="8">
        <v>24</v>
      </c>
      <c r="C80" s="9">
        <v>79.8</v>
      </c>
      <c r="D80" s="8">
        <v>23</v>
      </c>
      <c r="E80" s="6" t="str" cm="1">
        <f t="array" ref="E80">Nossa_SE(D80, "Estoque Baixo", "Estoque Normal")</f>
        <v>Estoque Baixo</v>
      </c>
      <c r="F80" s="6" cm="1">
        <f t="array" ref="F80">Nossa_MULT(C80,D80)</f>
        <v>1835.3999999999999</v>
      </c>
    </row>
    <row r="81" spans="1:6" x14ac:dyDescent="0.25">
      <c r="A81" s="7" t="s">
        <v>5</v>
      </c>
      <c r="B81" s="8">
        <v>23</v>
      </c>
      <c r="C81" s="9">
        <v>85.5</v>
      </c>
      <c r="D81" s="8">
        <v>2</v>
      </c>
      <c r="E81" s="6" t="str" cm="1">
        <f t="array" ref="E81">Nossa_SE(D81, "Estoque Baixo", "Estoque Normal")</f>
        <v>Estoque Baixo</v>
      </c>
      <c r="F81" s="6" cm="1">
        <f t="array" ref="F81">Nossa_MULT(C81,D81)</f>
        <v>171</v>
      </c>
    </row>
    <row r="82" spans="1:6" x14ac:dyDescent="0.25">
      <c r="A82" s="7" t="s">
        <v>7</v>
      </c>
      <c r="B82" s="8">
        <v>23</v>
      </c>
      <c r="C82" s="9">
        <v>85.5</v>
      </c>
      <c r="D82" s="8">
        <v>5</v>
      </c>
      <c r="E82" s="6" t="str" cm="1">
        <f t="array" ref="E82">Nossa_SE(D82, "Estoque Baixo", "Estoque Normal")</f>
        <v>Estoque Baixo</v>
      </c>
      <c r="F82" s="6" cm="1">
        <f t="array" ref="F82">Nossa_MULT(C82,D82)</f>
        <v>427.5</v>
      </c>
    </row>
    <row r="83" spans="1:6" x14ac:dyDescent="0.25">
      <c r="A83" s="4" t="s">
        <v>6</v>
      </c>
      <c r="B83" s="5">
        <v>23</v>
      </c>
      <c r="C83" s="6">
        <v>85.5</v>
      </c>
      <c r="D83" s="5">
        <v>0</v>
      </c>
      <c r="E83" s="6" t="str" cm="1">
        <f t="array" ref="E83">Nossa_SE(D83, "Estoque Baixo", "Estoque Normal")</f>
        <v>Estoque Baixo</v>
      </c>
      <c r="F83" s="6" cm="1">
        <f t="array" ref="F83">Nossa_MULT(C83,D83)</f>
        <v>0</v>
      </c>
    </row>
    <row r="84" spans="1:6" x14ac:dyDescent="0.25">
      <c r="A84" s="4" t="s">
        <v>8</v>
      </c>
      <c r="B84" s="5">
        <v>23</v>
      </c>
      <c r="C84" s="6">
        <v>79.8</v>
      </c>
      <c r="D84" s="5">
        <v>16</v>
      </c>
      <c r="E84" s="6" t="str" cm="1">
        <f t="array" ref="E84">Nossa_SE(D84, "Estoque Baixo", "Estoque Normal")</f>
        <v>Estoque Baixo</v>
      </c>
      <c r="F84" s="6" cm="1">
        <f t="array" ref="F84">Nossa_MULT(C84,D84)</f>
        <v>1276.8</v>
      </c>
    </row>
    <row r="85" spans="1:6" x14ac:dyDescent="0.25">
      <c r="A85" s="4" t="s">
        <v>10</v>
      </c>
      <c r="B85" s="5">
        <v>23</v>
      </c>
      <c r="C85" s="6">
        <v>79.8</v>
      </c>
      <c r="D85" s="5">
        <v>6</v>
      </c>
      <c r="E85" s="6" t="str" cm="1">
        <f t="array" ref="E85">Nossa_SE(D85, "Estoque Baixo", "Estoque Normal")</f>
        <v>Estoque Baixo</v>
      </c>
      <c r="F85" s="6" cm="1">
        <f t="array" ref="F85">Nossa_MULT(C85,D85)</f>
        <v>478.79999999999995</v>
      </c>
    </row>
    <row r="86" spans="1:6" x14ac:dyDescent="0.25">
      <c r="A86" s="4" t="s">
        <v>9</v>
      </c>
      <c r="B86" s="5">
        <v>23</v>
      </c>
      <c r="C86" s="6">
        <v>79.8</v>
      </c>
      <c r="D86" s="5">
        <v>8</v>
      </c>
      <c r="E86" s="6" t="str" cm="1">
        <f t="array" ref="E86">Nossa_SE(D86, "Estoque Baixo", "Estoque Normal")</f>
        <v>Estoque Baixo</v>
      </c>
      <c r="F86" s="6" cm="1">
        <f t="array" ref="F86">Nossa_MULT(C86,D86)</f>
        <v>638.4</v>
      </c>
    </row>
    <row r="87" spans="1:6" x14ac:dyDescent="0.25">
      <c r="A87" s="17" t="s">
        <v>5</v>
      </c>
      <c r="B87" s="18">
        <v>22</v>
      </c>
      <c r="C87" s="19">
        <v>85.5</v>
      </c>
      <c r="D87" s="18">
        <v>8</v>
      </c>
      <c r="E87" s="19" t="str" cm="1">
        <f t="array" ref="E87">Nossa_SE(D87, "Estoque Baixo", "Estoque Normal")</f>
        <v>Estoque Baixo</v>
      </c>
      <c r="F87" s="19" cm="1">
        <f t="array" ref="F87">Nossa_MULT(C87,D87)</f>
        <v>684</v>
      </c>
    </row>
    <row r="88" spans="1:6" x14ac:dyDescent="0.25">
      <c r="A88" s="4" t="s">
        <v>7</v>
      </c>
      <c r="B88" s="5">
        <v>22</v>
      </c>
      <c r="C88" s="6">
        <v>85.5</v>
      </c>
      <c r="D88" s="5">
        <v>0</v>
      </c>
      <c r="E88" s="6" t="str" cm="1">
        <f t="array" ref="E88">Nossa_SE(D88, "Estoque Baixo", "Estoque Normal")</f>
        <v>Estoque Baixo</v>
      </c>
      <c r="F88" s="6" cm="1">
        <f t="array" ref="F88">Nossa_MULT(C88,D88)</f>
        <v>0</v>
      </c>
    </row>
    <row r="89" spans="1:6" x14ac:dyDescent="0.25">
      <c r="A89" s="4" t="s">
        <v>6</v>
      </c>
      <c r="B89" s="5">
        <v>22</v>
      </c>
      <c r="C89" s="6">
        <v>85.5</v>
      </c>
      <c r="D89" s="5">
        <v>5</v>
      </c>
      <c r="E89" s="6" t="str" cm="1">
        <f t="array" ref="E89">Nossa_SE(D89, "Estoque Baixo", "Estoque Normal")</f>
        <v>Estoque Baixo</v>
      </c>
      <c r="F89" s="6" cm="1">
        <f t="array" ref="F89">Nossa_MULT(C89,D89)</f>
        <v>427.5</v>
      </c>
    </row>
    <row r="90" spans="1:6" x14ac:dyDescent="0.25">
      <c r="A90" s="4" t="s">
        <v>8</v>
      </c>
      <c r="B90" s="5">
        <v>22</v>
      </c>
      <c r="C90" s="6">
        <v>79.8</v>
      </c>
      <c r="D90" s="5">
        <v>5</v>
      </c>
      <c r="E90" s="6" t="str" cm="1">
        <f t="array" ref="E90">Nossa_SE(D90, "Estoque Baixo", "Estoque Normal")</f>
        <v>Estoque Baixo</v>
      </c>
      <c r="F90" s="6" cm="1">
        <f t="array" ref="F90">Nossa_MULT(C90,D90)</f>
        <v>399</v>
      </c>
    </row>
    <row r="91" spans="1:6" x14ac:dyDescent="0.25">
      <c r="A91" s="4" t="s">
        <v>10</v>
      </c>
      <c r="B91" s="5">
        <v>22</v>
      </c>
      <c r="C91" s="6">
        <v>79.8</v>
      </c>
      <c r="D91" s="5">
        <v>0</v>
      </c>
      <c r="E91" s="6" t="str" cm="1">
        <f t="array" ref="E91">Nossa_SE(D91, "Estoque Baixo", "Estoque Normal")</f>
        <v>Estoque Baixo</v>
      </c>
      <c r="F91" s="6" cm="1">
        <f t="array" ref="F91">Nossa_MULT(C91,D91)</f>
        <v>0</v>
      </c>
    </row>
    <row r="92" spans="1:6" x14ac:dyDescent="0.25">
      <c r="A92" s="4" t="s">
        <v>9</v>
      </c>
      <c r="B92" s="5">
        <v>22</v>
      </c>
      <c r="C92" s="6">
        <v>79.8</v>
      </c>
      <c r="D92" s="5">
        <v>5</v>
      </c>
      <c r="E92" s="6" t="str" cm="1">
        <f t="array" ref="E92">Nossa_SE(D92, "Estoque Baixo", "Estoque Normal")</f>
        <v>Estoque Baixo</v>
      </c>
      <c r="F92" s="6" cm="1">
        <f t="array" ref="F92">Nossa_MULT(C92,D92)</f>
        <v>399</v>
      </c>
    </row>
    <row r="93" spans="1:6" x14ac:dyDescent="0.25">
      <c r="A93" s="4" t="s">
        <v>5</v>
      </c>
      <c r="B93" s="5">
        <v>21</v>
      </c>
      <c r="C93" s="6">
        <v>85.5</v>
      </c>
      <c r="D93" s="5">
        <v>5</v>
      </c>
      <c r="E93" s="6" t="str" cm="1">
        <f t="array" ref="E93">Nossa_SE(D93, "Estoque Baixo", "Estoque Normal")</f>
        <v>Estoque Baixo</v>
      </c>
      <c r="F93" s="6" cm="1">
        <f t="array" ref="F93">Nossa_MULT(C93,D93)</f>
        <v>427.5</v>
      </c>
    </row>
    <row r="94" spans="1:6" x14ac:dyDescent="0.25">
      <c r="A94" s="7" t="s">
        <v>7</v>
      </c>
      <c r="B94" s="8">
        <v>21</v>
      </c>
      <c r="C94" s="9">
        <v>85.5</v>
      </c>
      <c r="D94" s="8">
        <v>19</v>
      </c>
      <c r="E94" s="6" t="str" cm="1">
        <f t="array" ref="E94">Nossa_SE(D94, "Estoque Baixo", "Estoque Normal")</f>
        <v>Estoque Baixo</v>
      </c>
      <c r="F94" s="6" cm="1">
        <f t="array" ref="F94">Nossa_MULT(C94,D94)</f>
        <v>1624.5</v>
      </c>
    </row>
    <row r="95" spans="1:6" x14ac:dyDescent="0.25">
      <c r="A95" s="7" t="s">
        <v>6</v>
      </c>
      <c r="B95" s="8">
        <v>21</v>
      </c>
      <c r="C95" s="9">
        <v>85.5</v>
      </c>
      <c r="D95" s="8">
        <v>19</v>
      </c>
      <c r="E95" s="6" t="str" cm="1">
        <f t="array" ref="E95">Nossa_SE(D95, "Estoque Baixo", "Estoque Normal")</f>
        <v>Estoque Baixo</v>
      </c>
      <c r="F95" s="6" cm="1">
        <f t="array" ref="F95">Nossa_MULT(C95,D95)</f>
        <v>1624.5</v>
      </c>
    </row>
    <row r="96" spans="1:6" x14ac:dyDescent="0.25">
      <c r="A96" s="7" t="s">
        <v>8</v>
      </c>
      <c r="B96" s="8">
        <v>21</v>
      </c>
      <c r="C96" s="9">
        <v>79.8</v>
      </c>
      <c r="D96" s="8">
        <v>0</v>
      </c>
      <c r="E96" s="6" t="str" cm="1">
        <f t="array" ref="E96">Nossa_SE(D96, "Estoque Baixo", "Estoque Normal")</f>
        <v>Estoque Baixo</v>
      </c>
      <c r="F96" s="6" cm="1">
        <f t="array" ref="F96">Nossa_MULT(C96,D96)</f>
        <v>0</v>
      </c>
    </row>
    <row r="97" spans="1:6" x14ac:dyDescent="0.25">
      <c r="A97" s="7" t="s">
        <v>10</v>
      </c>
      <c r="B97" s="8">
        <v>21</v>
      </c>
      <c r="C97" s="9">
        <v>79.8</v>
      </c>
      <c r="D97" s="8">
        <v>0</v>
      </c>
      <c r="E97" s="6" t="str" cm="1">
        <f t="array" ref="E97">Nossa_SE(D97, "Estoque Baixo", "Estoque Normal")</f>
        <v>Estoque Baixo</v>
      </c>
      <c r="F97" s="6" cm="1">
        <f t="array" ref="F97">Nossa_MULT(C97,D97)</f>
        <v>0</v>
      </c>
    </row>
    <row r="98" spans="1:6" x14ac:dyDescent="0.25">
      <c r="A98" s="7" t="s">
        <v>9</v>
      </c>
      <c r="B98" s="8">
        <v>21</v>
      </c>
      <c r="C98" s="9">
        <v>79.8</v>
      </c>
      <c r="D98" s="8">
        <v>12</v>
      </c>
      <c r="E98" s="6" t="str" cm="1">
        <f t="array" ref="E98">Nossa_SE(D98, "Estoque Baixo", "Estoque Normal")</f>
        <v>Estoque Baixo</v>
      </c>
      <c r="F98" s="6" cm="1">
        <f t="array" ref="F98">Nossa_MULT(C98,D98)</f>
        <v>957.59999999999991</v>
      </c>
    </row>
    <row r="99" spans="1:6" x14ac:dyDescent="0.25">
      <c r="A99" s="7" t="s">
        <v>5</v>
      </c>
      <c r="B99" s="8">
        <v>20</v>
      </c>
      <c r="C99" s="9">
        <v>85.5</v>
      </c>
      <c r="D99" s="8">
        <v>16</v>
      </c>
      <c r="E99" s="6" t="str" cm="1">
        <f t="array" ref="E99">Nossa_SE(D99, "Estoque Baixo", "Estoque Normal")</f>
        <v>Estoque Baixo</v>
      </c>
      <c r="F99" s="6" cm="1">
        <f t="array" ref="F99">Nossa_MULT(C99,D99)</f>
        <v>1368</v>
      </c>
    </row>
    <row r="100" spans="1:6" x14ac:dyDescent="0.25">
      <c r="A100" s="7" t="s">
        <v>7</v>
      </c>
      <c r="B100" s="8">
        <v>20</v>
      </c>
      <c r="C100" s="9">
        <v>85.5</v>
      </c>
      <c r="D100" s="8">
        <v>16</v>
      </c>
      <c r="E100" s="6" t="str" cm="1">
        <f t="array" ref="E100">Nossa_SE(D100, "Estoque Baixo", "Estoque Normal")</f>
        <v>Estoque Baixo</v>
      </c>
      <c r="F100" s="6" cm="1">
        <f t="array" ref="F100">Nossa_MULT(C100,D100)</f>
        <v>1368</v>
      </c>
    </row>
    <row r="101" spans="1:6" x14ac:dyDescent="0.25">
      <c r="A101" s="7" t="s">
        <v>6</v>
      </c>
      <c r="B101" s="8">
        <v>20</v>
      </c>
      <c r="C101" s="9">
        <v>85.5</v>
      </c>
      <c r="D101" s="8">
        <v>18</v>
      </c>
      <c r="E101" s="6" t="str" cm="1">
        <f t="array" ref="E101">Nossa_SE(D101, "Estoque Baixo", "Estoque Normal")</f>
        <v>Estoque Baixo</v>
      </c>
      <c r="F101" s="6" cm="1">
        <f t="array" ref="F101">Nossa_MULT(C101,D101)</f>
        <v>1539</v>
      </c>
    </row>
    <row r="102" spans="1:6" x14ac:dyDescent="0.25">
      <c r="A102" s="7" t="s">
        <v>8</v>
      </c>
      <c r="B102" s="8">
        <v>20</v>
      </c>
      <c r="C102" s="9">
        <v>79.8</v>
      </c>
      <c r="D102" s="8">
        <v>1</v>
      </c>
      <c r="E102" s="6" t="str" cm="1">
        <f t="array" ref="E102">Nossa_SE(D102, "Estoque Baixo", "Estoque Normal")</f>
        <v>Estoque Baixo</v>
      </c>
      <c r="F102" s="6" cm="1">
        <f t="array" ref="F102">Nossa_MULT(C102,D102)</f>
        <v>79.8</v>
      </c>
    </row>
    <row r="103" spans="1:6" x14ac:dyDescent="0.25">
      <c r="A103" s="4" t="s">
        <v>10</v>
      </c>
      <c r="B103" s="5">
        <v>20</v>
      </c>
      <c r="C103" s="6">
        <v>79.8</v>
      </c>
      <c r="D103" s="5">
        <v>1</v>
      </c>
      <c r="E103" s="6" t="str" cm="1">
        <f t="array" ref="E103">Nossa_SE(D103, "Estoque Baixo", "Estoque Normal")</f>
        <v>Estoque Baixo</v>
      </c>
      <c r="F103" s="6" cm="1">
        <f t="array" ref="F103">Nossa_MULT(C103,D103)</f>
        <v>79.8</v>
      </c>
    </row>
    <row r="104" spans="1:6" x14ac:dyDescent="0.25">
      <c r="A104" s="4" t="s">
        <v>9</v>
      </c>
      <c r="B104" s="5">
        <v>20</v>
      </c>
      <c r="C104" s="6">
        <v>79.8</v>
      </c>
      <c r="D104" s="5">
        <v>21</v>
      </c>
      <c r="E104" s="6" t="str" cm="1">
        <f t="array" ref="E104">Nossa_SE(D104, "Estoque Baixo", "Estoque Normal")</f>
        <v>Estoque Baixo</v>
      </c>
      <c r="F104" s="6" cm="1">
        <f t="array" ref="F104">Nossa_MULT(C104,D104)</f>
        <v>1675.8</v>
      </c>
    </row>
    <row r="105" spans="1:6" x14ac:dyDescent="0.25">
      <c r="A105" s="17" t="s">
        <v>5</v>
      </c>
      <c r="B105" s="18">
        <v>19</v>
      </c>
      <c r="C105" s="19">
        <v>85.5</v>
      </c>
      <c r="D105" s="18">
        <v>8</v>
      </c>
      <c r="E105" s="19" t="str" cm="1">
        <f t="array" ref="E105">Nossa_SE(D105, "Estoque Baixo", "Estoque Normal")</f>
        <v>Estoque Baixo</v>
      </c>
      <c r="F105" s="19" cm="1">
        <f t="array" ref="F105">Nossa_MULT(C105,D105)</f>
        <v>684</v>
      </c>
    </row>
    <row r="106" spans="1:6" x14ac:dyDescent="0.25">
      <c r="A106" s="4" t="s">
        <v>7</v>
      </c>
      <c r="B106" s="5">
        <v>19</v>
      </c>
      <c r="C106" s="6">
        <v>85.5</v>
      </c>
      <c r="D106" s="5">
        <v>25</v>
      </c>
      <c r="E106" s="6" t="str" cm="1">
        <f t="array" ref="E106">Nossa_SE(D106, "Estoque Baixo", "Estoque Normal")</f>
        <v>Estoque Baixo</v>
      </c>
      <c r="F106" s="6" cm="1">
        <f t="array" ref="F106">Nossa_MULT(C106,D106)</f>
        <v>2137.5</v>
      </c>
    </row>
    <row r="107" spans="1:6" x14ac:dyDescent="0.25">
      <c r="A107" s="17" t="s">
        <v>6</v>
      </c>
      <c r="B107" s="18">
        <v>19</v>
      </c>
      <c r="C107" s="19">
        <v>85.5</v>
      </c>
      <c r="D107" s="18">
        <v>16</v>
      </c>
      <c r="E107" s="19" t="str" cm="1">
        <f t="array" ref="E107">Nossa_SE(D107, "Estoque Baixo", "Estoque Normal")</f>
        <v>Estoque Baixo</v>
      </c>
      <c r="F107" s="19" cm="1">
        <f t="array" ref="F107">Nossa_MULT(C107,D107)</f>
        <v>1368</v>
      </c>
    </row>
    <row r="108" spans="1:6" x14ac:dyDescent="0.25">
      <c r="A108" s="4" t="s">
        <v>8</v>
      </c>
      <c r="B108" s="5">
        <v>19</v>
      </c>
      <c r="C108" s="6">
        <v>79.8</v>
      </c>
      <c r="D108" s="5">
        <v>3</v>
      </c>
      <c r="E108" s="6" t="str" cm="1">
        <f t="array" ref="E108">Nossa_SE(D108, "Estoque Baixo", "Estoque Normal")</f>
        <v>Estoque Baixo</v>
      </c>
      <c r="F108" s="6" cm="1">
        <f t="array" ref="F108">Nossa_MULT(C108,D108)</f>
        <v>239.39999999999998</v>
      </c>
    </row>
    <row r="109" spans="1:6" x14ac:dyDescent="0.25">
      <c r="A109" s="4" t="s">
        <v>10</v>
      </c>
      <c r="B109" s="5">
        <v>19</v>
      </c>
      <c r="C109" s="6">
        <v>79.8</v>
      </c>
      <c r="D109" s="5">
        <v>2</v>
      </c>
      <c r="E109" s="6" t="str" cm="1">
        <f t="array" ref="E109">Nossa_SE(D109, "Estoque Baixo", "Estoque Normal")</f>
        <v>Estoque Baixo</v>
      </c>
      <c r="F109" s="6" cm="1">
        <f t="array" ref="F109">Nossa_MULT(C109,D109)</f>
        <v>159.6</v>
      </c>
    </row>
    <row r="110" spans="1:6" x14ac:dyDescent="0.25">
      <c r="A110" s="4" t="s">
        <v>9</v>
      </c>
      <c r="B110" s="5">
        <v>19</v>
      </c>
      <c r="C110" s="6">
        <v>79.8</v>
      </c>
      <c r="D110" s="5">
        <v>3</v>
      </c>
      <c r="E110" s="6" t="str" cm="1">
        <f t="array" ref="E110">Nossa_SE(D110, "Estoque Baixo", "Estoque Normal")</f>
        <v>Estoque Baixo</v>
      </c>
      <c r="F110" s="6" cm="1">
        <f t="array" ref="F110">Nossa_MULT(C110,D110)</f>
        <v>239.39999999999998</v>
      </c>
    </row>
    <row r="111" spans="1:6" x14ac:dyDescent="0.25">
      <c r="A111" s="17" t="s">
        <v>5</v>
      </c>
      <c r="B111" s="18">
        <v>18</v>
      </c>
      <c r="C111" s="19">
        <v>85.5</v>
      </c>
      <c r="D111" s="18">
        <v>3</v>
      </c>
      <c r="E111" s="19" t="str" cm="1">
        <f t="array" ref="E111">Nossa_SE(D111, "Estoque Baixo", "Estoque Normal")</f>
        <v>Estoque Baixo</v>
      </c>
      <c r="F111" s="19" cm="1">
        <f t="array" ref="F111">Nossa_MULT(C111,D111)</f>
        <v>256.5</v>
      </c>
    </row>
    <row r="112" spans="1:6" x14ac:dyDescent="0.25">
      <c r="A112" s="17" t="s">
        <v>7</v>
      </c>
      <c r="B112" s="18">
        <v>18</v>
      </c>
      <c r="C112" s="19">
        <v>85.5</v>
      </c>
      <c r="D112" s="18">
        <v>15</v>
      </c>
      <c r="E112" s="19" t="str" cm="1">
        <f t="array" ref="E112">Nossa_SE(D112, "Estoque Baixo", "Estoque Normal")</f>
        <v>Estoque Baixo</v>
      </c>
      <c r="F112" s="19" cm="1">
        <f t="array" ref="F112">Nossa_MULT(C112,D112)</f>
        <v>1282.5</v>
      </c>
    </row>
    <row r="113" spans="1:6" ht="15.75" customHeight="1" x14ac:dyDescent="0.25">
      <c r="A113" s="17" t="s">
        <v>6</v>
      </c>
      <c r="B113" s="18">
        <v>12</v>
      </c>
      <c r="C113" s="19">
        <v>85.5</v>
      </c>
      <c r="D113" s="18">
        <v>5</v>
      </c>
      <c r="E113" s="19" t="str" cm="1">
        <f t="array" ref="E113">Nossa_SE(D113, "Estoque Baixo", "Estoque Normal")</f>
        <v>Estoque Baixo</v>
      </c>
      <c r="F113" s="19" cm="1">
        <f t="array" ref="F113">Nossa_MULT(C113,D113)</f>
        <v>427.5</v>
      </c>
    </row>
    <row r="114" spans="1:6" x14ac:dyDescent="0.25">
      <c r="A114" s="17" t="s">
        <v>8</v>
      </c>
      <c r="B114" s="18">
        <v>18</v>
      </c>
      <c r="C114" s="19">
        <v>79.8</v>
      </c>
      <c r="D114" s="18">
        <v>2</v>
      </c>
      <c r="E114" s="19" t="str" cm="1">
        <f t="array" ref="E114">Nossa_SE(D114, "Estoque Baixo", "Estoque Normal")</f>
        <v>Estoque Baixo</v>
      </c>
      <c r="F114" s="19" cm="1">
        <f t="array" ref="F114">Nossa_MULT(C114,D114)</f>
        <v>159.6</v>
      </c>
    </row>
    <row r="115" spans="1:6" x14ac:dyDescent="0.25">
      <c r="A115" s="20" t="s">
        <v>10</v>
      </c>
      <c r="B115" s="21">
        <v>18</v>
      </c>
      <c r="C115" s="22">
        <v>79.8</v>
      </c>
      <c r="D115" s="21">
        <v>15</v>
      </c>
      <c r="E115" s="19" t="str" cm="1">
        <f t="array" ref="E115">Nossa_SE(D115, "Estoque Baixo", "Estoque Normal")</f>
        <v>Estoque Baixo</v>
      </c>
      <c r="F115" s="19" cm="1">
        <f t="array" ref="F115">Nossa_MULT(C115,D115)</f>
        <v>1197</v>
      </c>
    </row>
    <row r="116" spans="1:6" x14ac:dyDescent="0.25">
      <c r="A116" s="20" t="s">
        <v>9</v>
      </c>
      <c r="B116" s="21">
        <v>18</v>
      </c>
      <c r="C116" s="22">
        <v>79.8</v>
      </c>
      <c r="D116" s="21">
        <v>0</v>
      </c>
      <c r="E116" s="19" t="str" cm="1">
        <f t="array" ref="E116">Nossa_SE(D116, "Estoque Baixo", "Estoque Normal")</f>
        <v>Estoque Baixo</v>
      </c>
      <c r="F116" s="19" cm="1">
        <f t="array" ref="F116">Nossa_MULT(C116,D116)</f>
        <v>0</v>
      </c>
    </row>
    <row r="117" spans="1:6" x14ac:dyDescent="0.25">
      <c r="A117" s="20" t="s">
        <v>5</v>
      </c>
      <c r="B117" s="21">
        <v>17</v>
      </c>
      <c r="C117" s="22">
        <v>85.5</v>
      </c>
      <c r="D117" s="21">
        <v>0</v>
      </c>
      <c r="E117" s="19" t="str" cm="1">
        <f t="array" ref="E117">Nossa_SE(D117, "Estoque Baixo", "Estoque Normal")</f>
        <v>Estoque Baixo</v>
      </c>
      <c r="F117" s="19" cm="1">
        <f t="array" ref="F117">Nossa_MULT(C117,D117)</f>
        <v>0</v>
      </c>
    </row>
    <row r="118" spans="1:6" x14ac:dyDescent="0.25">
      <c r="A118" s="20" t="s">
        <v>7</v>
      </c>
      <c r="B118" s="21">
        <v>12</v>
      </c>
      <c r="C118" s="22">
        <v>85.5</v>
      </c>
      <c r="D118" s="21">
        <v>6</v>
      </c>
      <c r="E118" s="19" t="str" cm="1">
        <f t="array" ref="E118">Nossa_SE(D118, "Estoque Baixo", "Estoque Normal")</f>
        <v>Estoque Baixo</v>
      </c>
      <c r="F118" s="19" cm="1">
        <f t="array" ref="F118">Nossa_MULT(C118,D118)</f>
        <v>513</v>
      </c>
    </row>
    <row r="119" spans="1:6" x14ac:dyDescent="0.25">
      <c r="A119" s="20" t="s">
        <v>6</v>
      </c>
      <c r="B119" s="21">
        <v>18</v>
      </c>
      <c r="C119" s="22">
        <v>85.5</v>
      </c>
      <c r="D119" s="21">
        <v>2</v>
      </c>
      <c r="E119" s="19" t="str" cm="1">
        <f t="array" ref="E119">Nossa_SE(D119, "Estoque Baixo", "Estoque Normal")</f>
        <v>Estoque Baixo</v>
      </c>
      <c r="F119" s="19" cm="1">
        <f t="array" ref="F119">Nossa_MULT(C119,D119)</f>
        <v>171</v>
      </c>
    </row>
    <row r="120" spans="1:6" x14ac:dyDescent="0.25">
      <c r="A120" s="20" t="s">
        <v>8</v>
      </c>
      <c r="B120" s="21">
        <v>44</v>
      </c>
      <c r="C120" s="22">
        <v>79.8</v>
      </c>
      <c r="D120" s="21">
        <v>25</v>
      </c>
      <c r="E120" s="19" t="str" cm="1">
        <f t="array" ref="E120">Nossa_SE(D120, "Estoque Baixo", "Estoque Normal")</f>
        <v>Estoque Baixo</v>
      </c>
      <c r="F120" s="19" cm="1">
        <f t="array" ref="F120">Nossa_MULT(C120,D120)</f>
        <v>1995</v>
      </c>
    </row>
    <row r="121" spans="1:6" x14ac:dyDescent="0.25">
      <c r="A121" s="20" t="s">
        <v>10</v>
      </c>
      <c r="B121" s="21">
        <v>17</v>
      </c>
      <c r="C121" s="22">
        <v>79.8</v>
      </c>
      <c r="D121" s="21">
        <v>17</v>
      </c>
      <c r="E121" s="19" t="str" cm="1">
        <f t="array" ref="E121">Nossa_SE(D121, "Estoque Baixo", "Estoque Normal")</f>
        <v>Estoque Baixo</v>
      </c>
      <c r="F121" s="19" cm="1">
        <f t="array" ref="F121">Nossa_MULT(C121,D121)</f>
        <v>1356.6</v>
      </c>
    </row>
    <row r="122" spans="1:6" x14ac:dyDescent="0.25">
      <c r="A122" s="20" t="s">
        <v>9</v>
      </c>
      <c r="B122" s="21">
        <v>17</v>
      </c>
      <c r="C122" s="22">
        <v>79.8</v>
      </c>
      <c r="D122" s="21">
        <v>15</v>
      </c>
      <c r="E122" s="19" t="str" cm="1">
        <f t="array" ref="E122">Nossa_SE(D122, "Estoque Baixo", "Estoque Normal")</f>
        <v>Estoque Baixo</v>
      </c>
      <c r="F122" s="19" cm="1">
        <f t="array" ref="F122">Nossa_MULT(C122,D122)</f>
        <v>1197</v>
      </c>
    </row>
    <row r="123" spans="1:6" x14ac:dyDescent="0.25">
      <c r="A123" s="20" t="s">
        <v>9</v>
      </c>
      <c r="B123" s="21">
        <v>16</v>
      </c>
      <c r="C123" s="22">
        <v>59.9</v>
      </c>
      <c r="D123" s="21">
        <v>10</v>
      </c>
      <c r="E123" s="19" t="str" cm="1">
        <f t="array" ref="E123">Nossa_SE(D123, "Estoque Baixo", "Estoque Normal")</f>
        <v>Estoque Baixo</v>
      </c>
      <c r="F123" s="19" cm="1">
        <f t="array" ref="F123">Nossa_MULT(C123,D123)</f>
        <v>599</v>
      </c>
    </row>
    <row r="124" spans="1:6" x14ac:dyDescent="0.25">
      <c r="A124" s="20" t="s">
        <v>9</v>
      </c>
      <c r="B124" s="21">
        <v>18</v>
      </c>
      <c r="C124" s="22">
        <v>19.899999999999999</v>
      </c>
      <c r="D124" s="21">
        <v>5</v>
      </c>
      <c r="E124" s="19" t="str" cm="1">
        <f t="array" ref="E124">Nossa_SE(D124, "Estoque Baixo", "Estoque Normal")</f>
        <v>Estoque Baixo</v>
      </c>
      <c r="F124" s="19" cm="1">
        <f t="array" ref="F124">Nossa_MULT(C124,D124)</f>
        <v>99.5</v>
      </c>
    </row>
    <row r="125" spans="1:6" x14ac:dyDescent="0.25">
      <c r="A125" s="20" t="s">
        <v>5</v>
      </c>
      <c r="B125" s="21">
        <v>33</v>
      </c>
      <c r="C125" s="22">
        <v>12</v>
      </c>
      <c r="D125" s="21">
        <v>12</v>
      </c>
      <c r="E125" s="19" t="str" cm="1">
        <f t="array" ref="E125">Nossa_SE(D125, "Estoque Baixo", "Estoque Normal")</f>
        <v>Estoque Baixo</v>
      </c>
      <c r="F125" s="19" cm="1">
        <f t="array" ref="F125">Nossa_MULT(C125,D125)</f>
        <v>144</v>
      </c>
    </row>
    <row r="126" spans="1:6" x14ac:dyDescent="0.25">
      <c r="A126" s="20" t="s">
        <v>9</v>
      </c>
      <c r="B126" s="21">
        <v>18</v>
      </c>
      <c r="C126" s="22">
        <v>19.899999999999999</v>
      </c>
      <c r="D126" s="21">
        <v>5</v>
      </c>
      <c r="E126" s="19" t="str" cm="1">
        <f t="array" ref="E126">Nossa_SE(D126, "Estoque Baixo", "Estoque Normal")</f>
        <v>Estoque Baixo</v>
      </c>
      <c r="F126" s="19" cm="1">
        <f t="array" ref="F126">Nossa_MULT(C126,D126)</f>
        <v>99.5</v>
      </c>
    </row>
    <row r="127" spans="1:6" x14ac:dyDescent="0.25">
      <c r="A127" s="20" t="s">
        <v>9</v>
      </c>
      <c r="B127" s="21">
        <v>18</v>
      </c>
      <c r="C127" s="22">
        <v>19.899999999999999</v>
      </c>
      <c r="D127" s="21">
        <v>5</v>
      </c>
      <c r="E127" s="19" t="str" cm="1">
        <f t="array" ref="E127">Nossa_SE(D127, "Estoque Baixo", "Estoque Normal")</f>
        <v>Estoque Baixo</v>
      </c>
      <c r="F127" s="19" cm="1">
        <f t="array" ref="F127">Nossa_MULT(C127,D127)</f>
        <v>99.5</v>
      </c>
    </row>
    <row r="128" spans="1:6" x14ac:dyDescent="0.25">
      <c r="A128" s="20" t="s">
        <v>9</v>
      </c>
      <c r="B128" s="21">
        <v>23</v>
      </c>
      <c r="C128" s="22">
        <v>23</v>
      </c>
      <c r="D128" s="21">
        <v>32</v>
      </c>
      <c r="E128" s="19" t="str" cm="1">
        <f t="array" ref="E128">Nossa_SE(D128, "Estoque Baixo", "Estoque Normal")</f>
        <v>Estoque Normal</v>
      </c>
      <c r="F128" s="19" cm="1">
        <f t="array" ref="F128">Nossa_MULT(C128,D128)</f>
        <v>736</v>
      </c>
    </row>
    <row r="129" spans="1:6" x14ac:dyDescent="0.25">
      <c r="A129" s="20"/>
      <c r="B129" s="21"/>
      <c r="C129" s="22"/>
      <c r="D129" s="21"/>
      <c r="E129" s="19" t="str" cm="1">
        <f t="array" ref="E129">Nossa_SE(D129, "Estoque Baixo", "Estoque Normal")</f>
        <v>Estoque Baixo</v>
      </c>
      <c r="F129" s="19" cm="1">
        <f t="array" ref="F129">Nossa_MULT(C129,D129)</f>
        <v>0</v>
      </c>
    </row>
    <row r="130" spans="1:6" x14ac:dyDescent="0.25">
      <c r="A130" s="20"/>
      <c r="B130" s="21"/>
      <c r="C130" s="22"/>
      <c r="D130" s="21"/>
      <c r="E130" s="19" t="str" cm="1">
        <f t="array" ref="E130">Nossa_SE(D130, "Estoque Baixo", "Estoque Normal")</f>
        <v>Estoque Baixo</v>
      </c>
      <c r="F130" s="19" cm="1">
        <f t="array" ref="F130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ref="E131">Nossa_SE(D131, "Estoque Baixo", "Estoque Normal")</f>
        <v>Estoque Baixo</v>
      </c>
      <c r="F131" s="6" cm="1">
        <f t="array" ref="F131">Nossa_MULT(C131,D131)</f>
        <v>0</v>
      </c>
    </row>
    <row r="132" spans="1:6" x14ac:dyDescent="0.25">
      <c r="A132" s="7"/>
      <c r="B132" s="8"/>
      <c r="C132" s="9"/>
      <c r="D132" s="8"/>
      <c r="E132" s="6" t="str" cm="1">
        <f t="array" ref="E132">Nossa_SE(D132, "Estoque Baixo", "Estoque Normal")</f>
        <v>Estoque Baixo</v>
      </c>
      <c r="F132" s="6" cm="1">
        <f t="array" ref="F132">Nossa_MULT(C132,D132)</f>
        <v>0</v>
      </c>
    </row>
    <row r="133" spans="1:6" x14ac:dyDescent="0.25">
      <c r="A133" s="7"/>
      <c r="B133" s="8"/>
      <c r="C133" s="9"/>
      <c r="D133" s="8"/>
      <c r="E133" s="6" t="str" cm="1">
        <f t="array" ref="E133">Nossa_SE(D133, "Estoque Baixo", "Estoque Normal")</f>
        <v>Estoque Baixo</v>
      </c>
      <c r="F133" s="6" cm="1">
        <f t="array" ref="F133">Nossa_MULT(C133,D133)</f>
        <v>0</v>
      </c>
    </row>
    <row r="134" spans="1:6" x14ac:dyDescent="0.25">
      <c r="A134" s="7"/>
      <c r="B134" s="8"/>
      <c r="C134" s="9"/>
      <c r="D134" s="8"/>
      <c r="E134" s="6" t="str" cm="1">
        <f t="array" ref="E134">Nossa_SE(D134, "Estoque Baixo", "Estoque Normal")</f>
        <v>Estoque Baixo</v>
      </c>
      <c r="F134" s="6" cm="1">
        <f t="array" ref="F134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ref="E135">Nossa_SE(D135, "Estoque Baixo", "Estoque Normal")</f>
        <v>Estoque Baixo</v>
      </c>
      <c r="F135" s="6" cm="1">
        <f t="array" ref="F135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ref="E136">Nossa_SE(D136, "Estoque Baixo", "Estoque Normal")</f>
        <v>Estoque Baixo</v>
      </c>
      <c r="F136" s="6" cm="1">
        <f t="array" ref="F136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ref="E137">Nossa_SE(D137, "Estoque Baixo", "Estoque Normal")</f>
        <v>Estoque Baixo</v>
      </c>
      <c r="F137" s="6" cm="1">
        <f t="array" ref="F137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ref="E138">Nossa_SE(D138, "Estoque Baixo", "Estoque Normal")</f>
        <v>Estoque Baixo</v>
      </c>
      <c r="F138" s="6" cm="1">
        <f t="array" ref="F138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ref="E139">Nossa_SE(D139, "Estoque Baixo", "Estoque Normal")</f>
        <v>Estoque Baixo</v>
      </c>
      <c r="F139" s="6" cm="1">
        <f t="array" ref="F139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ref="E140">Nossa_SE(D140, "Estoque Baixo", "Estoque Normal")</f>
        <v>Estoque Baixo</v>
      </c>
      <c r="F140" s="6" cm="1">
        <f t="array" ref="F140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ref="E141">Nossa_SE(D141, "Estoque Baixo", "Estoque Normal")</f>
        <v>Estoque Baixo</v>
      </c>
      <c r="F141" s="6" cm="1">
        <f t="array" ref="F14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ref="E142">Nossa_SE(D142, "Estoque Baixo", "Estoque Normal")</f>
        <v>Estoque Baixo</v>
      </c>
      <c r="F142" s="6" cm="1">
        <f t="array" ref="F142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ref="E143">Nossa_SE(D143, "Estoque Baixo", "Estoque Normal")</f>
        <v>Estoque Baixo</v>
      </c>
      <c r="F143" s="6" cm="1">
        <f t="array" ref="F143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ref="E144">Nossa_SE(D144, "Estoque Baixo", "Estoque Normal")</f>
        <v>Estoque Baixo</v>
      </c>
      <c r="F144" s="6" cm="1">
        <f t="array" ref="F144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ref="E145">Nossa_SE(D145, "Estoque Baixo", "Estoque Normal")</f>
        <v>Estoque Baixo</v>
      </c>
      <c r="F145" s="6" cm="1">
        <f t="array" ref="F145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ref="E146">Nossa_SE(D146, "Estoque Baixo", "Estoque Normal")</f>
        <v>Estoque Baixo</v>
      </c>
      <c r="F146" s="6" cm="1">
        <f t="array" ref="F146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ref="E147">Nossa_SE(D147, "Estoque Baixo", "Estoque Normal")</f>
        <v>Estoque Baixo</v>
      </c>
      <c r="F147" s="6" cm="1">
        <f t="array" ref="F147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ref="E148">Nossa_SE(D148, "Estoque Baixo", "Estoque Normal")</f>
        <v>Estoque Baixo</v>
      </c>
      <c r="F148" s="6" cm="1">
        <f t="array" ref="F148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ref="E149">Nossa_SE(D149, "Estoque Baixo", "Estoque Normal")</f>
        <v>Estoque Baixo</v>
      </c>
      <c r="F149" s="6" cm="1">
        <f t="array" ref="F149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ref="E150">Nossa_SE(D150, "Estoque Baixo", "Estoque Normal")</f>
        <v>Estoque Baixo</v>
      </c>
      <c r="F150" s="6" cm="1">
        <f t="array" ref="F150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ref="E151">Nossa_SE(D151, "Estoque Baixo", "Estoque Normal")</f>
        <v>Estoque Baixo</v>
      </c>
      <c r="F151" s="6" cm="1">
        <f t="array" ref="F15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ref="E152">Nossa_SE(D152, "Estoque Baixo", "Estoque Normal")</f>
        <v>Estoque Baixo</v>
      </c>
      <c r="F152" s="6" cm="1">
        <f t="array" ref="F152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ref="E153">Nossa_SE(D153, "Estoque Baixo", "Estoque Normal")</f>
        <v>Estoque Baixo</v>
      </c>
      <c r="F153" s="6" cm="1">
        <f t="array" ref="F153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ref="E154">Nossa_SE(D154, "Estoque Baixo", "Estoque Normal")</f>
        <v>Estoque Baixo</v>
      </c>
      <c r="F154" s="6" cm="1">
        <f t="array" ref="F154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ref="E155">Nossa_SE(D155, "Estoque Baixo", "Estoque Normal")</f>
        <v>Estoque Baixo</v>
      </c>
      <c r="F155" s="6" cm="1">
        <f t="array" ref="F155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ref="E156">Nossa_SE(D156, "Estoque Baixo", "Estoque Normal")</f>
        <v>Estoque Baixo</v>
      </c>
      <c r="F156" s="6" cm="1">
        <f t="array" ref="F156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ref="E157">Nossa_SE(D157, "Estoque Baixo", "Estoque Normal")</f>
        <v>Estoque Baixo</v>
      </c>
      <c r="F157" s="6" cm="1">
        <f t="array" ref="F157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ref="E158">Nossa_SE(D158, "Estoque Baixo", "Estoque Normal")</f>
        <v>Estoque Baixo</v>
      </c>
      <c r="F158" s="6" cm="1">
        <f t="array" ref="F158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ref="E159">Nossa_SE(D159, "Estoque Baixo", "Estoque Normal")</f>
        <v>Estoque Baixo</v>
      </c>
      <c r="F159" s="6" cm="1">
        <f t="array" ref="F159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ref="E160">Nossa_SE(D160, "Estoque Baixo", "Estoque Normal")</f>
        <v>Estoque Baixo</v>
      </c>
      <c r="F160" s="6" cm="1">
        <f t="array" ref="F160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ref="E161">Nossa_SE(D161, "Estoque Baixo", "Estoque Normal")</f>
        <v>Estoque Baixo</v>
      </c>
      <c r="F161" s="6" cm="1">
        <f t="array" ref="F16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ref="E162">Nossa_SE(D162, "Estoque Baixo", "Estoque Normal")</f>
        <v>Estoque Baixo</v>
      </c>
      <c r="F162" s="6" cm="1">
        <f t="array" ref="F162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ref="E163">Nossa_SE(D163, "Estoque Baixo", "Estoque Normal")</f>
        <v>Estoque Baixo</v>
      </c>
      <c r="F163" s="6" cm="1">
        <f t="array" ref="F163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ref="E164">Nossa_SE(D164, "Estoque Baixo", "Estoque Normal")</f>
        <v>Estoque Baixo</v>
      </c>
      <c r="F164" s="6" cm="1">
        <f t="array" ref="F164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ref="E165">Nossa_SE(D165, "Estoque Baixo", "Estoque Normal")</f>
        <v>Estoque Baixo</v>
      </c>
      <c r="F165" s="6" cm="1">
        <f t="array" ref="F165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ref="E166">Nossa_SE(D166, "Estoque Baixo", "Estoque Normal")</f>
        <v>Estoque Baixo</v>
      </c>
      <c r="F166" s="6" cm="1">
        <f t="array" ref="F166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ref="E167">Nossa_SE(D167, "Estoque Baixo", "Estoque Normal")</f>
        <v>Estoque Baixo</v>
      </c>
      <c r="F167" s="6" cm="1">
        <f t="array" ref="F167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ref="E168">Nossa_SE(D168, "Estoque Baixo", "Estoque Normal")</f>
        <v>Estoque Baixo</v>
      </c>
      <c r="F168" s="6" cm="1">
        <f t="array" ref="F168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ref="E169">Nossa_SE(D169, "Estoque Baixo", "Estoque Normal")</f>
        <v>Estoque Baixo</v>
      </c>
      <c r="F169" s="6" cm="1">
        <f t="array" ref="F169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ref="E170">Nossa_SE(D170, "Estoque Baixo", "Estoque Normal")</f>
        <v>Estoque Baixo</v>
      </c>
      <c r="F170" s="6" cm="1">
        <f t="array" ref="F170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ref="E171">Nossa_SE(D171, "Estoque Baixo", "Estoque Normal")</f>
        <v>Estoque Baixo</v>
      </c>
      <c r="F171" s="6" cm="1">
        <f t="array" ref="F17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ref="E172">Nossa_SE(D172, "Estoque Baixo", "Estoque Normal")</f>
        <v>Estoque Baixo</v>
      </c>
      <c r="F172" s="6" cm="1">
        <f t="array" ref="F172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ref="E173">Nossa_SE(D173, "Estoque Baixo", "Estoque Normal")</f>
        <v>Estoque Baixo</v>
      </c>
      <c r="F173" s="6" cm="1">
        <f t="array" ref="F173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ref="E174">Nossa_SE(D174, "Estoque Baixo", "Estoque Normal")</f>
        <v>Estoque Baixo</v>
      </c>
      <c r="F174" s="6" cm="1">
        <f t="array" ref="F174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ref="E175">Nossa_SE(D175, "Estoque Baixo", "Estoque Normal")</f>
        <v>Estoque Baixo</v>
      </c>
      <c r="F175" s="6" cm="1">
        <f t="array" ref="F175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ref="E176">Nossa_SE(D176, "Estoque Baixo", "Estoque Normal")</f>
        <v>Estoque Baixo</v>
      </c>
      <c r="F176" s="6" cm="1">
        <f t="array" ref="F176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ref="E177">Nossa_SE(D177, "Estoque Baixo", "Estoque Normal")</f>
        <v>Estoque Baixo</v>
      </c>
      <c r="F177" s="6" cm="1">
        <f t="array" ref="F177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ref="E178">Nossa_SE(D178, "Estoque Baixo", "Estoque Normal")</f>
        <v>Estoque Baixo</v>
      </c>
      <c r="F178" s="6" cm="1">
        <f t="array" ref="F178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ref="E179">Nossa_SE(D179, "Estoque Baixo", "Estoque Normal")</f>
        <v>Estoque Baixo</v>
      </c>
      <c r="F179" s="6" cm="1">
        <f t="array" ref="F179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ref="E180">Nossa_SE(D180, "Estoque Baixo", "Estoque Normal")</f>
        <v>Estoque Baixo</v>
      </c>
      <c r="F180" s="6" cm="1">
        <f t="array" ref="F180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ref="E181">Nossa_SE(D181, "Estoque Baixo", "Estoque Normal")</f>
        <v>Estoque Baixo</v>
      </c>
      <c r="F181" s="6" cm="1">
        <f t="array" ref="F18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ref="E182">Nossa_SE(D182, "Estoque Baixo", "Estoque Normal")</f>
        <v>Estoque Baixo</v>
      </c>
      <c r="F182" s="6" cm="1">
        <f t="array" ref="F182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ref="E183">Nossa_SE(D183, "Estoque Baixo", "Estoque Normal")</f>
        <v>Estoque Baixo</v>
      </c>
      <c r="F183" s="6" cm="1">
        <f t="array" ref="F183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ref="E184">Nossa_SE(D184, "Estoque Baixo", "Estoque Normal")</f>
        <v>Estoque Baixo</v>
      </c>
      <c r="F184" s="6" cm="1">
        <f t="array" ref="F184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ref="E185">Nossa_SE(D185, "Estoque Baixo", "Estoque Normal")</f>
        <v>Estoque Baixo</v>
      </c>
      <c r="F185" s="6" cm="1">
        <f t="array" ref="F185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ref="E186">Nossa_SE(D186, "Estoque Baixo", "Estoque Normal")</f>
        <v>Estoque Baixo</v>
      </c>
      <c r="F186" s="6" cm="1">
        <f t="array" ref="F186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ref="E187">Nossa_SE(D187, "Estoque Baixo", "Estoque Normal")</f>
        <v>Estoque Baixo</v>
      </c>
      <c r="F187" s="6" cm="1">
        <f t="array" ref="F187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ref="E188">Nossa_SE(D188, "Estoque Baixo", "Estoque Normal")</f>
        <v>Estoque Baixo</v>
      </c>
      <c r="F188" s="6" cm="1">
        <f t="array" ref="F188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ref="E189">Nossa_SE(D189, "Estoque Baixo", "Estoque Normal")</f>
        <v>Estoque Baixo</v>
      </c>
      <c r="F189" s="6" cm="1">
        <f t="array" ref="F189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ref="E190">Nossa_SE(D190, "Estoque Baixo", "Estoque Normal")</f>
        <v>Estoque Baixo</v>
      </c>
      <c r="F190" s="6" cm="1">
        <f t="array" ref="F190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ref="E191">Nossa_SE(D191, "Estoque Baixo", "Estoque Normal")</f>
        <v>Estoque Baixo</v>
      </c>
      <c r="F191" s="6" cm="1">
        <f t="array" ref="F19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ref="E192">Nossa_SE(D192, "Estoque Baixo", "Estoque Normal")</f>
        <v>Estoque Baixo</v>
      </c>
      <c r="F192" s="6" cm="1">
        <f t="array" ref="F192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ref="E193">Nossa_SE(D193, "Estoque Baixo", "Estoque Normal")</f>
        <v>Estoque Baixo</v>
      </c>
      <c r="F193" s="6" cm="1">
        <f t="array" ref="F193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ref="E194">Nossa_SE(D194, "Estoque Baixo", "Estoque Normal")</f>
        <v>Estoque Baixo</v>
      </c>
      <c r="F194" s="6" cm="1">
        <f t="array" ref="F194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ref="E195">Nossa_SE(D195, "Estoque Baixo", "Estoque Normal")</f>
        <v>Estoque Baixo</v>
      </c>
      <c r="F195" s="6" cm="1">
        <f t="array" ref="F195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ref="E196">Nossa_SE(D196, "Estoque Baixo", "Estoque Normal")</f>
        <v>Estoque Baixo</v>
      </c>
      <c r="F196" s="6" cm="1">
        <f t="array" ref="F196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ref="E197">Nossa_SE(D197, "Estoque Baixo", "Estoque Normal")</f>
        <v>Estoque Baixo</v>
      </c>
      <c r="F197" s="6" cm="1">
        <f t="array" ref="F197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ref="E198">Nossa_SE(D198, "Estoque Baixo", "Estoque Normal")</f>
        <v>Estoque Baixo</v>
      </c>
      <c r="F198" s="6" cm="1">
        <f t="array" ref="F198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ref="E199">Nossa_SE(D199, "Estoque Baixo", "Estoque Normal")</f>
        <v>Estoque Baixo</v>
      </c>
      <c r="F199" s="6" cm="1">
        <f t="array" ref="F199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ref="E200">Nossa_SE(D200, "Estoque Baixo", "Estoque Normal")</f>
        <v>Estoque Baixo</v>
      </c>
      <c r="F200" s="6" cm="1">
        <f t="array" ref="F200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ref="E201">Nossa_SE(D201, "Estoque Baixo", "Estoque Normal")</f>
        <v>Estoque Baixo</v>
      </c>
      <c r="F201" s="6" cm="1">
        <f t="array" ref="F20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ref="E202">Nossa_SE(D202, "Estoque Baixo", "Estoque Normal")</f>
        <v>Estoque Baixo</v>
      </c>
      <c r="F202" s="6" cm="1">
        <f t="array" ref="F202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ref="E203">Nossa_SE(D203, "Estoque Baixo", "Estoque Normal")</f>
        <v>Estoque Baixo</v>
      </c>
      <c r="F203" s="6" cm="1">
        <f t="array" ref="F203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ref="E204">Nossa_SE(D204, "Estoque Baixo", "Estoque Normal")</f>
        <v>Estoque Baixo</v>
      </c>
      <c r="F204" s="6" cm="1">
        <f t="array" ref="F204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ref="E205">Nossa_SE(D205, "Estoque Baixo", "Estoque Normal")</f>
        <v>Estoque Baixo</v>
      </c>
      <c r="F205" s="6" cm="1">
        <f t="array" ref="F205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ref="E206">Nossa_SE(D206, "Estoque Baixo", "Estoque Normal")</f>
        <v>Estoque Baixo</v>
      </c>
      <c r="F206" s="6" cm="1">
        <f t="array" ref="F206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ref="E207">Nossa_SE(D207, "Estoque Baixo", "Estoque Normal")</f>
        <v>Estoque Baixo</v>
      </c>
      <c r="F207" s="6" cm="1">
        <f t="array" ref="F207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ref="E208">Nossa_SE(D208, "Estoque Baixo", "Estoque Normal")</f>
        <v>Estoque Baixo</v>
      </c>
      <c r="F208" s="6" cm="1">
        <f t="array" ref="F208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ref="E209">Nossa_SE(D209, "Estoque Baixo", "Estoque Normal")</f>
        <v>Estoque Baixo</v>
      </c>
      <c r="F209" s="6" cm="1">
        <f t="array" ref="F209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ref="E210">Nossa_SE(D210, "Estoque Baixo", "Estoque Normal")</f>
        <v>Estoque Baixo</v>
      </c>
      <c r="F210" s="6" cm="1">
        <f t="array" ref="F210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ref="E211">Nossa_SE(D211, "Estoque Baixo", "Estoque Normal")</f>
        <v>Estoque Baixo</v>
      </c>
      <c r="F211" s="6" cm="1">
        <f t="array" ref="F21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ref="E212">Nossa_SE(D212, "Estoque Baixo", "Estoque Normal")</f>
        <v>Estoque Baixo</v>
      </c>
      <c r="F212" s="6" cm="1">
        <f t="array" ref="F212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ref="E213">Nossa_SE(D213, "Estoque Baixo", "Estoque Normal")</f>
        <v>Estoque Baixo</v>
      </c>
      <c r="F213" s="6" cm="1">
        <f t="array" ref="F213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ref="E214">Nossa_SE(D214, "Estoque Baixo", "Estoque Normal")</f>
        <v>Estoque Baixo</v>
      </c>
      <c r="F214" s="6" cm="1">
        <f t="array" ref="F214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ref="E215">Nossa_SE(D215, "Estoque Baixo", "Estoque Normal")</f>
        <v>Estoque Baixo</v>
      </c>
      <c r="F215" s="6" cm="1">
        <f t="array" ref="F215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ref="E216">Nossa_SE(D216, "Estoque Baixo", "Estoque Normal")</f>
        <v>Estoque Baixo</v>
      </c>
      <c r="F216" s="6" cm="1">
        <f t="array" ref="F216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ref="E217">Nossa_SE(D217, "Estoque Baixo", "Estoque Normal")</f>
        <v>Estoque Baixo</v>
      </c>
      <c r="F217" s="6" cm="1">
        <f t="array" ref="F217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ref="E218">Nossa_SE(D218, "Estoque Baixo", "Estoque Normal")</f>
        <v>Estoque Baixo</v>
      </c>
      <c r="F218" s="6" cm="1">
        <f t="array" ref="F218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ref="E219">Nossa_SE(D219, "Estoque Baixo", "Estoque Normal")</f>
        <v>Estoque Baixo</v>
      </c>
      <c r="F219" s="6" cm="1">
        <f t="array" ref="F219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ref="E220">Nossa_SE(D220, "Estoque Baixo", "Estoque Normal")</f>
        <v>Estoque Baixo</v>
      </c>
      <c r="F220" s="6" cm="1">
        <f t="array" ref="F220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ref="E221">Nossa_SE(D221, "Estoque Baixo", "Estoque Normal")</f>
        <v>Estoque Baixo</v>
      </c>
      <c r="F221" s="6" cm="1">
        <f t="array" ref="F22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ref="E222">Nossa_SE(D222, "Estoque Baixo", "Estoque Normal")</f>
        <v>Estoque Baixo</v>
      </c>
      <c r="F222" s="6" cm="1">
        <f t="array" ref="F222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ref="E223">Nossa_SE(D223, "Estoque Baixo", "Estoque Normal")</f>
        <v>Estoque Baixo</v>
      </c>
      <c r="F223" s="6" cm="1">
        <f t="array" ref="F223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ref="E224">Nossa_SE(D224, "Estoque Baixo", "Estoque Normal")</f>
        <v>Estoque Baixo</v>
      </c>
      <c r="F224" s="6" cm="1">
        <f t="array" ref="F224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ref="E225">Nossa_SE(D225, "Estoque Baixo", "Estoque Normal")</f>
        <v>Estoque Baixo</v>
      </c>
      <c r="F225" s="6" cm="1">
        <f t="array" ref="F225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ref="E226">Nossa_SE(D226, "Estoque Baixo", "Estoque Normal")</f>
        <v>Estoque Baixo</v>
      </c>
      <c r="F226" s="6" cm="1">
        <f t="array" ref="F226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ref="E227">Nossa_SE(D227, "Estoque Baixo", "Estoque Normal")</f>
        <v>Estoque Baixo</v>
      </c>
      <c r="F227" s="6" cm="1">
        <f t="array" ref="F227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ref="E228">Nossa_SE(D228, "Estoque Baixo", "Estoque Normal")</f>
        <v>Estoque Baixo</v>
      </c>
      <c r="F228" s="6" cm="1">
        <f t="array" ref="F228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ref="E229">Nossa_SE(D229, "Estoque Baixo", "Estoque Normal")</f>
        <v>Estoque Baixo</v>
      </c>
      <c r="F229" s="6" cm="1">
        <f t="array" ref="F229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ref="E230">Nossa_SE(D230, "Estoque Baixo", "Estoque Normal")</f>
        <v>Estoque Baixo</v>
      </c>
      <c r="F230" s="6" cm="1">
        <f t="array" ref="F230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ref="E231">Nossa_SE(D231, "Estoque Baixo", "Estoque Normal")</f>
        <v>Estoque Baixo</v>
      </c>
      <c r="F231" s="6" cm="1">
        <f t="array" ref="F23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ref="E232">Nossa_SE(D232, "Estoque Baixo", "Estoque Normal")</f>
        <v>Estoque Baixo</v>
      </c>
      <c r="F232" s="6" cm="1">
        <f t="array" ref="F232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ref="E233">Nossa_SE(D233, "Estoque Baixo", "Estoque Normal")</f>
        <v>Estoque Baixo</v>
      </c>
      <c r="F233" s="6" cm="1">
        <f t="array" ref="F233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ref="E234">Nossa_SE(D234, "Estoque Baixo", "Estoque Normal")</f>
        <v>Estoque Baixo</v>
      </c>
      <c r="F234" s="6" cm="1">
        <f t="array" ref="F234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ref="E235">Nossa_SE(D235, "Estoque Baixo", "Estoque Normal")</f>
        <v>Estoque Baixo</v>
      </c>
      <c r="F235" s="6" cm="1">
        <f t="array" ref="F235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ref="E236">Nossa_SE(D236, "Estoque Baixo", "Estoque Normal")</f>
        <v>Estoque Baixo</v>
      </c>
      <c r="F236" s="6" cm="1">
        <f t="array" ref="F236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ref="E237">Nossa_SE(D237, "Estoque Baixo", "Estoque Normal")</f>
        <v>Estoque Baixo</v>
      </c>
      <c r="F237" s="6" cm="1">
        <f t="array" ref="F237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ref="E238">Nossa_SE(D238, "Estoque Baixo", "Estoque Normal")</f>
        <v>Estoque Baixo</v>
      </c>
      <c r="F238" s="6" cm="1">
        <f t="array" ref="F238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ref="E239">Nossa_SE(D239, "Estoque Baixo", "Estoque Normal")</f>
        <v>Estoque Baixo</v>
      </c>
      <c r="F239" s="6" cm="1">
        <f t="array" ref="F239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ref="E240">Nossa_SE(D240, "Estoque Baixo", "Estoque Normal")</f>
        <v>Estoque Baixo</v>
      </c>
      <c r="F240" s="6" cm="1">
        <f t="array" ref="F240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ref="E241">Nossa_SE(D241, "Estoque Baixo", "Estoque Normal")</f>
        <v>Estoque Baixo</v>
      </c>
      <c r="F241" s="6" cm="1">
        <f t="array" ref="F24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ref="E242">Nossa_SE(D242, "Estoque Baixo", "Estoque Normal")</f>
        <v>Estoque Baixo</v>
      </c>
      <c r="F242" s="6" cm="1">
        <f t="array" ref="F242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ref="E243">Nossa_SE(D243, "Estoque Baixo", "Estoque Normal")</f>
        <v>Estoque Baixo</v>
      </c>
      <c r="F243" s="6" cm="1">
        <f t="array" ref="F243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ref="E244">Nossa_SE(D244, "Estoque Baixo", "Estoque Normal")</f>
        <v>Estoque Baixo</v>
      </c>
      <c r="F244" s="6" cm="1">
        <f t="array" ref="F244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ref="E245">Nossa_SE(D245, "Estoque Baixo", "Estoque Normal")</f>
        <v>Estoque Baixo</v>
      </c>
      <c r="F245" s="6" cm="1">
        <f t="array" ref="F245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ref="E246">Nossa_SE(D246, "Estoque Baixo", "Estoque Normal")</f>
        <v>Estoque Baixo</v>
      </c>
      <c r="F246" s="6" cm="1">
        <f t="array" ref="F246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ref="E247">Nossa_SE(D247, "Estoque Baixo", "Estoque Normal")</f>
        <v>Estoque Baixo</v>
      </c>
      <c r="F247" s="6" cm="1">
        <f t="array" ref="F247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ref="E248">Nossa_SE(D248, "Estoque Baixo", "Estoque Normal")</f>
        <v>Estoque Baixo</v>
      </c>
      <c r="F248" s="6" cm="1">
        <f t="array" ref="F248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ref="E249">Nossa_SE(D249, "Estoque Baixo", "Estoque Normal")</f>
        <v>Estoque Baixo</v>
      </c>
      <c r="F249" s="6" cm="1">
        <f t="array" ref="F249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ref="E250">Nossa_SE(D250, "Estoque Baixo", "Estoque Normal")</f>
        <v>Estoque Baixo</v>
      </c>
      <c r="F250" s="6" cm="1">
        <f t="array" ref="F250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ref="E251">Nossa_SE(D251, "Estoque Baixo", "Estoque Normal")</f>
        <v>Estoque Baixo</v>
      </c>
      <c r="F251" s="6" cm="1">
        <f t="array" ref="F25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ref="E252">Nossa_SE(D252, "Estoque Baixo", "Estoque Normal")</f>
        <v>Estoque Baixo</v>
      </c>
      <c r="F252" s="6" cm="1">
        <f t="array" ref="F252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ref="E253">Nossa_SE(D253, "Estoque Baixo", "Estoque Normal")</f>
        <v>Estoque Baixo</v>
      </c>
      <c r="F253" s="6" cm="1">
        <f t="array" ref="F253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ref="E254">Nossa_SE(D254, "Estoque Baixo", "Estoque Normal")</f>
        <v>Estoque Baixo</v>
      </c>
      <c r="F254" s="6" cm="1">
        <f t="array" ref="F254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ref="E255">Nossa_SE(D255, "Estoque Baixo", "Estoque Normal")</f>
        <v>Estoque Baixo</v>
      </c>
      <c r="F255" s="6" cm="1">
        <f t="array" ref="F255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ref="E256">Nossa_SE(D256, "Estoque Baixo", "Estoque Normal")</f>
        <v>Estoque Baixo</v>
      </c>
      <c r="F256" s="6" cm="1">
        <f t="array" ref="F256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ref="E257">Nossa_SE(D257, "Estoque Baixo", "Estoque Normal")</f>
        <v>Estoque Baixo</v>
      </c>
      <c r="F257" s="6" cm="1">
        <f t="array" ref="F257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ref="E258">Nossa_SE(D258, "Estoque Baixo", "Estoque Normal")</f>
        <v>Estoque Baixo</v>
      </c>
      <c r="F258" s="6" cm="1">
        <f t="array" ref="F258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ref="E259">Nossa_SE(D259, "Estoque Baixo", "Estoque Normal")</f>
        <v>Estoque Baixo</v>
      </c>
      <c r="F259" s="6" cm="1">
        <f t="array" ref="F259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ref="E260">Nossa_SE(D260, "Estoque Baixo", "Estoque Normal")</f>
        <v>Estoque Baixo</v>
      </c>
      <c r="F260" s="6" cm="1">
        <f t="array" ref="F260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ref="E261">Nossa_SE(D261, "Estoque Baixo", "Estoque Normal")</f>
        <v>Estoque Baixo</v>
      </c>
      <c r="F261" s="6" cm="1">
        <f t="array" ref="F26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ref="E262">Nossa_SE(D262, "Estoque Baixo", "Estoque Normal")</f>
        <v>Estoque Baixo</v>
      </c>
      <c r="F262" s="6" cm="1">
        <f t="array" ref="F262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ref="E263">Nossa_SE(D263, "Estoque Baixo", "Estoque Normal")</f>
        <v>Estoque Baixo</v>
      </c>
      <c r="F263" s="6" cm="1">
        <f t="array" ref="F263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ref="E264">Nossa_SE(D264, "Estoque Baixo", "Estoque Normal")</f>
        <v>Estoque Baixo</v>
      </c>
      <c r="F264" s="6" cm="1">
        <f t="array" ref="F264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ref="E265">Nossa_SE(D265, "Estoque Baixo", "Estoque Normal")</f>
        <v>Estoque Baixo</v>
      </c>
      <c r="F265" s="6" cm="1">
        <f t="array" ref="F265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ref="E266">Nossa_SE(D266, "Estoque Baixo", "Estoque Normal")</f>
        <v>Estoque Baixo</v>
      </c>
      <c r="F266" s="6" cm="1">
        <f t="array" ref="F266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ref="E267">Nossa_SE(D267, "Estoque Baixo", "Estoque Normal")</f>
        <v>Estoque Baixo</v>
      </c>
      <c r="F267" s="6" cm="1">
        <f t="array" ref="F267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ref="E268">Nossa_SE(D268, "Estoque Baixo", "Estoque Normal")</f>
        <v>Estoque Baixo</v>
      </c>
      <c r="F268" s="6" cm="1">
        <f t="array" ref="F268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ref="E269">Nossa_SE(D269, "Estoque Baixo", "Estoque Normal")</f>
        <v>Estoque Baixo</v>
      </c>
      <c r="F269" s="6" cm="1">
        <f t="array" ref="F269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ref="E270">Nossa_SE(D270, "Estoque Baixo", "Estoque Normal")</f>
        <v>Estoque Baixo</v>
      </c>
      <c r="F270" s="6" cm="1">
        <f t="array" ref="F270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ref="E271">Nossa_SE(D271, "Estoque Baixo", "Estoque Normal")</f>
        <v>Estoque Baixo</v>
      </c>
      <c r="F271" s="6" cm="1">
        <f t="array" ref="F27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ref="E272">Nossa_SE(D272, "Estoque Baixo", "Estoque Normal")</f>
        <v>Estoque Baixo</v>
      </c>
      <c r="F272" s="6" cm="1">
        <f t="array" ref="F272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ref="E273">Nossa_SE(D273, "Estoque Baixo", "Estoque Normal")</f>
        <v>Estoque Baixo</v>
      </c>
      <c r="F273" s="6" cm="1">
        <f t="array" ref="F273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ref="E274">Nossa_SE(D274, "Estoque Baixo", "Estoque Normal")</f>
        <v>Estoque Baixo</v>
      </c>
      <c r="F274" s="6" cm="1">
        <f t="array" ref="F274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ref="E275">Nossa_SE(D275, "Estoque Baixo", "Estoque Normal")</f>
        <v>Estoque Baixo</v>
      </c>
      <c r="F275" s="6" cm="1">
        <f t="array" ref="F275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ref="E276">Nossa_SE(D276, "Estoque Baixo", "Estoque Normal")</f>
        <v>Estoque Baixo</v>
      </c>
      <c r="F276" s="6" cm="1">
        <f t="array" ref="F276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ref="E277">Nossa_SE(D277, "Estoque Baixo", "Estoque Normal")</f>
        <v>Estoque Baixo</v>
      </c>
      <c r="F277" s="6" cm="1">
        <f t="array" ref="F277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ref="E278">Nossa_SE(D278, "Estoque Baixo", "Estoque Normal")</f>
        <v>Estoque Baixo</v>
      </c>
      <c r="F278" s="6" cm="1">
        <f t="array" ref="F278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ref="E279">Nossa_SE(D279, "Estoque Baixo", "Estoque Normal")</f>
        <v>Estoque Baixo</v>
      </c>
      <c r="F279" s="6" cm="1">
        <f t="array" ref="F279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ref="E280">Nossa_SE(D280, "Estoque Baixo", "Estoque Normal")</f>
        <v>Estoque Baixo</v>
      </c>
      <c r="F280" s="6" cm="1">
        <f t="array" ref="F280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ref="E281">Nossa_SE(D281, "Estoque Baixo", "Estoque Normal")</f>
        <v>Estoque Baixo</v>
      </c>
      <c r="F281" s="6" cm="1">
        <f t="array" ref="F28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ref="E282">Nossa_SE(D282, "Estoque Baixo", "Estoque Normal")</f>
        <v>Estoque Baixo</v>
      </c>
      <c r="F282" s="6" cm="1">
        <f t="array" ref="F282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ref="E283">Nossa_SE(D283, "Estoque Baixo", "Estoque Normal")</f>
        <v>Estoque Baixo</v>
      </c>
      <c r="F283" s="6" cm="1">
        <f t="array" ref="F283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ref="E284">Nossa_SE(D284, "Estoque Baixo", "Estoque Normal")</f>
        <v>Estoque Baixo</v>
      </c>
      <c r="F284" s="6" cm="1">
        <f t="array" ref="F284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ref="E285">Nossa_SE(D285, "Estoque Baixo", "Estoque Normal")</f>
        <v>Estoque Baixo</v>
      </c>
      <c r="F285" s="6" cm="1">
        <f t="array" ref="F285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ref="E286">Nossa_SE(D286, "Estoque Baixo", "Estoque Normal")</f>
        <v>Estoque Baixo</v>
      </c>
      <c r="F286" s="6" cm="1">
        <f t="array" ref="F286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ref="E287">Nossa_SE(D287, "Estoque Baixo", "Estoque Normal")</f>
        <v>Estoque Baixo</v>
      </c>
      <c r="F287" s="6" cm="1">
        <f t="array" ref="F287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ref="E288">Nossa_SE(D288, "Estoque Baixo", "Estoque Normal")</f>
        <v>Estoque Baixo</v>
      </c>
      <c r="F288" s="6" cm="1">
        <f t="array" ref="F288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ref="E289">Nossa_SE(D289, "Estoque Baixo", "Estoque Normal")</f>
        <v>Estoque Baixo</v>
      </c>
      <c r="F289" s="6" cm="1">
        <f t="array" ref="F289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ref="E290">Nossa_SE(D290, "Estoque Baixo", "Estoque Normal")</f>
        <v>Estoque Baixo</v>
      </c>
      <c r="F290" s="6" cm="1">
        <f t="array" ref="F290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ref="E291">Nossa_SE(D291, "Estoque Baixo", "Estoque Normal")</f>
        <v>Estoque Baixo</v>
      </c>
      <c r="F291" s="6" cm="1">
        <f t="array" ref="F29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ref="E292">Nossa_SE(D292, "Estoque Baixo", "Estoque Normal")</f>
        <v>Estoque Baixo</v>
      </c>
      <c r="F292" s="6" cm="1">
        <f t="array" ref="F292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ref="E293">Nossa_SE(D293, "Estoque Baixo", "Estoque Normal")</f>
        <v>Estoque Baixo</v>
      </c>
      <c r="F293" s="6" cm="1">
        <f t="array" ref="F293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ref="E294">Nossa_SE(D294, "Estoque Baixo", "Estoque Normal")</f>
        <v>Estoque Baixo</v>
      </c>
      <c r="F294" s="6" cm="1">
        <f t="array" ref="F294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ref="E295">Nossa_SE(D295, "Estoque Baixo", "Estoque Normal")</f>
        <v>Estoque Baixo</v>
      </c>
      <c r="F295" s="6" cm="1">
        <f t="array" ref="F295">Nossa_MULT(C295,D295)</f>
        <v>0</v>
      </c>
    </row>
    <row r="296" spans="1:6" x14ac:dyDescent="0.25">
      <c r="A296" s="13"/>
      <c r="B296" s="14"/>
      <c r="C296" s="15"/>
      <c r="D296" s="14"/>
      <c r="E296" s="16" t="str" cm="1">
        <f t="array" ref="E296">Nossa_SE(D296, "Estoque Baixo", "Estoque Normal")</f>
        <v>Estoque Baixo</v>
      </c>
      <c r="F296" s="16" cm="1">
        <f t="array" ref="F296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ref="E297">Nossa_SE(D297, "Estoque Baixo", "Estoque Normal")</f>
        <v>Estoque Baixo</v>
      </c>
      <c r="F297" s="6" cm="1">
        <f t="array" ref="F297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ref="E298">Nossa_SE(D298, "Estoque Baixo", "Estoque Normal")</f>
        <v>Estoque Baixo</v>
      </c>
      <c r="F298" s="6" cm="1">
        <f t="array" ref="F298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ref="E299">Nossa_SE(D299, "Estoque Baixo", "Estoque Normal")</f>
        <v>Estoque Baixo</v>
      </c>
      <c r="F299" s="6" cm="1">
        <f t="array" ref="F299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ref="E300">Nossa_SE(D300, "Estoque Baixo", "Estoque Normal")</f>
        <v>Estoque Baixo</v>
      </c>
      <c r="F300" s="6" cm="1">
        <f t="array" ref="F300">Nossa_MULT(C300,D300)</f>
        <v>0</v>
      </c>
    </row>
  </sheetData>
  <sheetProtection sheet="1" objects="1" scenarios="1"/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ma_frm_reposicao">
                <anchor moveWithCells="1" sizeWithCells="1">
                  <from>
                    <xdr:col>5</xdr:col>
                    <xdr:colOff>0</xdr:colOff>
                    <xdr:row>0</xdr:row>
                    <xdr:rowOff>47625</xdr:rowOff>
                  </from>
                  <to>
                    <xdr:col>5</xdr:col>
                    <xdr:colOff>1333500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B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2" ht="16.5" thickBot="1" x14ac:dyDescent="0.3">
      <c r="A1" s="2" t="s">
        <v>12</v>
      </c>
      <c r="B1" s="2" t="s">
        <v>11</v>
      </c>
    </row>
    <row r="2" spans="1:2" x14ac:dyDescent="0.25">
      <c r="A2" s="4" t="s">
        <v>5</v>
      </c>
      <c r="B2" s="11">
        <f>_xlfn.MAXIFS('Produtos Infantis'!$C$3:$C$122,'Produtos Infantis'!$A$3:$A$122,Dados!A2)</f>
        <v>95</v>
      </c>
    </row>
    <row r="3" spans="1:2" x14ac:dyDescent="0.25">
      <c r="A3" s="4" t="s">
        <v>7</v>
      </c>
      <c r="B3" s="11">
        <f>_xlfn.MAXIFS('Produtos Infantis'!$C$3:$C$122,'Produtos Infantis'!$A$3:$A$122,Dados!A3)</f>
        <v>89.9</v>
      </c>
    </row>
    <row r="4" spans="1:2" x14ac:dyDescent="0.25">
      <c r="A4" s="4" t="s">
        <v>6</v>
      </c>
      <c r="B4" s="11">
        <f>_xlfn.MAXIFS('Produtos Infantis'!$C$3:$C$122,'Produtos Infantis'!$A$3:$A$122,Dados!A4)</f>
        <v>89.9</v>
      </c>
    </row>
    <row r="5" spans="1:2" x14ac:dyDescent="0.25">
      <c r="A5" s="4" t="s">
        <v>8</v>
      </c>
      <c r="B5" s="11">
        <f>_xlfn.MAXIFS('Produtos Infantis'!$C$3:$C$122,'Produtos Infantis'!$A$3:$A$122,Dados!A5)</f>
        <v>83.3</v>
      </c>
    </row>
    <row r="6" spans="1:2" x14ac:dyDescent="0.25">
      <c r="A6" s="4" t="s">
        <v>10</v>
      </c>
      <c r="B6" s="11">
        <f>_xlfn.MAXIFS('Produtos Infantis'!$C$3:$C$122,'Produtos Infantis'!$A$3:$A$122,Dados!A6)</f>
        <v>83.4</v>
      </c>
    </row>
    <row r="7" spans="1:2" ht="15.75" thickBot="1" x14ac:dyDescent="0.3">
      <c r="A7" s="10" t="s">
        <v>9</v>
      </c>
      <c r="B7" s="12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422BE-3DEC-4F69-B9B0-10363F914CDD}">
  <sheetPr codeName="Planilha3"/>
  <dimension ref="A1:F304"/>
  <sheetViews>
    <sheetView showGridLines="0" zoomScaleNormal="100" workbookViewId="0">
      <selection sqref="A1:F1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23" t="s">
        <v>2</v>
      </c>
      <c r="B1" s="24"/>
      <c r="C1" s="24"/>
      <c r="D1" s="24"/>
      <c r="E1" s="24"/>
      <c r="F1" s="25"/>
    </row>
    <row r="2" spans="1:6" ht="14.25" customHeight="1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13</v>
      </c>
      <c r="F2" s="3" t="s">
        <v>14</v>
      </c>
    </row>
    <row r="3" spans="1:6" ht="14.25" customHeight="1" x14ac:dyDescent="0.25">
      <c r="A3" s="17"/>
      <c r="B3" s="18"/>
      <c r="C3" s="19"/>
      <c r="D3" s="18"/>
      <c r="E3" s="19"/>
      <c r="F3" s="19"/>
    </row>
    <row r="4" spans="1:6" ht="15.75" thickBot="1" x14ac:dyDescent="0.3"/>
    <row r="5" spans="1:6" ht="21.75" thickBot="1" x14ac:dyDescent="0.4">
      <c r="A5" s="23" t="s">
        <v>2</v>
      </c>
      <c r="B5" s="24"/>
      <c r="C5" s="24"/>
      <c r="D5" s="24"/>
      <c r="E5" s="24"/>
      <c r="F5" s="25"/>
    </row>
    <row r="6" spans="1:6" ht="16.5" thickBot="1" x14ac:dyDescent="0.3">
      <c r="A6" s="2" t="s">
        <v>1</v>
      </c>
      <c r="B6" s="3" t="s">
        <v>0</v>
      </c>
      <c r="C6" s="3" t="s">
        <v>4</v>
      </c>
      <c r="D6" s="3" t="s">
        <v>3</v>
      </c>
      <c r="E6" s="3" t="s">
        <v>13</v>
      </c>
      <c r="F6" s="3" t="s">
        <v>14</v>
      </c>
    </row>
    <row r="7" spans="1:6" x14ac:dyDescent="0.25">
      <c r="A7" s="17" t="s">
        <v>5</v>
      </c>
      <c r="B7" s="18">
        <v>36</v>
      </c>
      <c r="C7" s="19">
        <v>95</v>
      </c>
      <c r="D7" s="18">
        <v>3</v>
      </c>
      <c r="E7" s="19" t="s">
        <v>15</v>
      </c>
      <c r="F7" s="19">
        <v>285</v>
      </c>
    </row>
    <row r="8" spans="1:6" x14ac:dyDescent="0.25">
      <c r="A8" s="17" t="s">
        <v>7</v>
      </c>
      <c r="B8" s="18">
        <v>23</v>
      </c>
      <c r="C8" s="19">
        <v>89.9</v>
      </c>
      <c r="D8" s="18">
        <v>3</v>
      </c>
      <c r="E8" s="19" t="s">
        <v>15</v>
      </c>
      <c r="F8" s="19">
        <v>269.70000000000005</v>
      </c>
    </row>
    <row r="9" spans="1:6" x14ac:dyDescent="0.25">
      <c r="A9" s="17" t="s">
        <v>6</v>
      </c>
      <c r="B9" s="18">
        <v>25</v>
      </c>
      <c r="C9" s="19">
        <v>89.9</v>
      </c>
      <c r="D9" s="18">
        <v>0</v>
      </c>
      <c r="E9" s="19" t="s">
        <v>15</v>
      </c>
      <c r="F9" s="19">
        <v>0</v>
      </c>
    </row>
    <row r="10" spans="1:6" x14ac:dyDescent="0.25">
      <c r="A10" s="17" t="s">
        <v>8</v>
      </c>
      <c r="B10" s="18">
        <v>36</v>
      </c>
      <c r="C10" s="19">
        <v>83.3</v>
      </c>
      <c r="D10" s="18">
        <v>36</v>
      </c>
      <c r="E10" s="19" t="s">
        <v>16</v>
      </c>
      <c r="F10" s="19">
        <v>2998.7999999999997</v>
      </c>
    </row>
    <row r="11" spans="1:6" x14ac:dyDescent="0.25">
      <c r="A11" s="17" t="s">
        <v>10</v>
      </c>
      <c r="B11" s="18">
        <v>36</v>
      </c>
      <c r="C11" s="19">
        <v>83.4</v>
      </c>
      <c r="D11" s="18">
        <v>5</v>
      </c>
      <c r="E11" s="19" t="s">
        <v>15</v>
      </c>
      <c r="F11" s="19">
        <v>417</v>
      </c>
    </row>
    <row r="12" spans="1:6" x14ac:dyDescent="0.25">
      <c r="A12" s="17" t="s">
        <v>9</v>
      </c>
      <c r="B12" s="18">
        <v>35</v>
      </c>
      <c r="C12" s="19">
        <v>83.3</v>
      </c>
      <c r="D12" s="18">
        <v>15</v>
      </c>
      <c r="E12" s="19" t="s">
        <v>15</v>
      </c>
      <c r="F12" s="19">
        <v>1249.5</v>
      </c>
    </row>
    <row r="13" spans="1:6" x14ac:dyDescent="0.25">
      <c r="A13" s="4" t="s">
        <v>5</v>
      </c>
      <c r="B13" s="5">
        <v>35</v>
      </c>
      <c r="C13" s="6">
        <v>89.9</v>
      </c>
      <c r="D13" s="5">
        <v>21</v>
      </c>
      <c r="E13" s="6" t="s">
        <v>15</v>
      </c>
      <c r="F13" s="6">
        <v>1887.9</v>
      </c>
    </row>
    <row r="14" spans="1:6" x14ac:dyDescent="0.25">
      <c r="A14" s="17" t="s">
        <v>7</v>
      </c>
      <c r="B14" s="18">
        <v>33</v>
      </c>
      <c r="C14" s="19">
        <v>89.9</v>
      </c>
      <c r="D14" s="18">
        <v>15</v>
      </c>
      <c r="E14" s="19" t="s">
        <v>15</v>
      </c>
      <c r="F14" s="19">
        <v>1348.5</v>
      </c>
    </row>
    <row r="15" spans="1:6" x14ac:dyDescent="0.25">
      <c r="A15" s="17" t="s">
        <v>6</v>
      </c>
      <c r="B15" s="18">
        <v>35</v>
      </c>
      <c r="C15" s="19">
        <v>89.9</v>
      </c>
      <c r="D15" s="18">
        <v>2</v>
      </c>
      <c r="E15" s="19" t="s">
        <v>15</v>
      </c>
      <c r="F15" s="19">
        <v>179.8</v>
      </c>
    </row>
    <row r="16" spans="1:6" x14ac:dyDescent="0.25">
      <c r="A16" s="17" t="s">
        <v>8</v>
      </c>
      <c r="B16" s="18">
        <v>35</v>
      </c>
      <c r="C16" s="19">
        <v>83.3</v>
      </c>
      <c r="D16" s="18">
        <v>2</v>
      </c>
      <c r="E16" s="19" t="s">
        <v>15</v>
      </c>
      <c r="F16" s="19">
        <v>166.6</v>
      </c>
    </row>
    <row r="17" spans="1:6" x14ac:dyDescent="0.25">
      <c r="A17" s="17" t="s">
        <v>10</v>
      </c>
      <c r="B17" s="18">
        <v>35</v>
      </c>
      <c r="C17" s="19">
        <v>83.3</v>
      </c>
      <c r="D17" s="18">
        <v>26</v>
      </c>
      <c r="E17" s="19" t="s">
        <v>15</v>
      </c>
      <c r="F17" s="19">
        <v>2165.7999999999997</v>
      </c>
    </row>
    <row r="18" spans="1:6" x14ac:dyDescent="0.25">
      <c r="A18" s="20" t="s">
        <v>9</v>
      </c>
      <c r="B18" s="18">
        <v>32</v>
      </c>
      <c r="C18" s="19">
        <v>83.3</v>
      </c>
      <c r="D18" s="18">
        <v>9</v>
      </c>
      <c r="E18" s="19" t="s">
        <v>15</v>
      </c>
      <c r="F18" s="19">
        <v>749.69999999999993</v>
      </c>
    </row>
    <row r="19" spans="1:6" x14ac:dyDescent="0.25">
      <c r="A19" s="20" t="s">
        <v>5</v>
      </c>
      <c r="B19" s="21">
        <v>34</v>
      </c>
      <c r="C19" s="22">
        <v>89.9</v>
      </c>
      <c r="D19" s="21">
        <v>4</v>
      </c>
      <c r="E19" s="19" t="s">
        <v>15</v>
      </c>
      <c r="F19" s="19">
        <v>359.6</v>
      </c>
    </row>
    <row r="20" spans="1:6" x14ac:dyDescent="0.25">
      <c r="A20" s="7" t="s">
        <v>7</v>
      </c>
      <c r="B20" s="8">
        <v>34</v>
      </c>
      <c r="C20" s="9">
        <v>89.9</v>
      </c>
      <c r="D20" s="8">
        <v>25</v>
      </c>
      <c r="E20" s="6" t="s">
        <v>15</v>
      </c>
      <c r="F20" s="6">
        <v>2247.5</v>
      </c>
    </row>
    <row r="21" spans="1:6" x14ac:dyDescent="0.25">
      <c r="A21" s="7" t="s">
        <v>6</v>
      </c>
      <c r="B21" s="8">
        <v>34</v>
      </c>
      <c r="C21" s="9">
        <v>89.9</v>
      </c>
      <c r="D21" s="8">
        <v>15</v>
      </c>
      <c r="E21" s="6" t="s">
        <v>15</v>
      </c>
      <c r="F21" s="6">
        <v>1348.5</v>
      </c>
    </row>
    <row r="22" spans="1:6" x14ac:dyDescent="0.25">
      <c r="A22" s="20" t="s">
        <v>8</v>
      </c>
      <c r="B22" s="21">
        <v>34</v>
      </c>
      <c r="C22" s="22">
        <v>83.3</v>
      </c>
      <c r="D22" s="21">
        <v>16</v>
      </c>
      <c r="E22" s="19" t="s">
        <v>15</v>
      </c>
      <c r="F22" s="19">
        <v>1332.8</v>
      </c>
    </row>
    <row r="23" spans="1:6" x14ac:dyDescent="0.25">
      <c r="A23" s="7" t="s">
        <v>10</v>
      </c>
      <c r="B23" s="8">
        <v>34</v>
      </c>
      <c r="C23" s="9">
        <v>83.3</v>
      </c>
      <c r="D23" s="8">
        <v>19</v>
      </c>
      <c r="E23" s="6" t="s">
        <v>15</v>
      </c>
      <c r="F23" s="6">
        <v>1582.7</v>
      </c>
    </row>
    <row r="24" spans="1:6" x14ac:dyDescent="0.25">
      <c r="A24" s="7" t="s">
        <v>9</v>
      </c>
      <c r="B24" s="8">
        <v>34</v>
      </c>
      <c r="C24" s="9">
        <v>83.3</v>
      </c>
      <c r="D24" s="8">
        <v>6</v>
      </c>
      <c r="E24" s="6" t="s">
        <v>15</v>
      </c>
      <c r="F24" s="6">
        <v>499.79999999999995</v>
      </c>
    </row>
    <row r="25" spans="1:6" x14ac:dyDescent="0.25">
      <c r="A25" s="7" t="s">
        <v>5</v>
      </c>
      <c r="B25" s="8">
        <v>33</v>
      </c>
      <c r="C25" s="9">
        <v>89.9</v>
      </c>
      <c r="D25" s="8">
        <v>6</v>
      </c>
      <c r="E25" s="6" t="s">
        <v>15</v>
      </c>
      <c r="F25" s="6">
        <v>539.40000000000009</v>
      </c>
    </row>
    <row r="26" spans="1:6" x14ac:dyDescent="0.25">
      <c r="A26" s="7" t="s">
        <v>7</v>
      </c>
      <c r="B26" s="8">
        <v>33</v>
      </c>
      <c r="C26" s="9">
        <v>89.9</v>
      </c>
      <c r="D26" s="8">
        <v>4</v>
      </c>
      <c r="E26" s="6" t="s">
        <v>15</v>
      </c>
      <c r="F26" s="6">
        <v>359.6</v>
      </c>
    </row>
    <row r="27" spans="1:6" x14ac:dyDescent="0.25">
      <c r="A27" s="4" t="s">
        <v>6</v>
      </c>
      <c r="B27" s="5">
        <v>33</v>
      </c>
      <c r="C27" s="6">
        <v>89.9</v>
      </c>
      <c r="D27" s="5">
        <v>4</v>
      </c>
      <c r="E27" s="6" t="s">
        <v>15</v>
      </c>
      <c r="F27" s="6">
        <v>359.6</v>
      </c>
    </row>
    <row r="28" spans="1:6" x14ac:dyDescent="0.25">
      <c r="A28" s="4" t="s">
        <v>8</v>
      </c>
      <c r="B28" s="5">
        <v>33</v>
      </c>
      <c r="C28" s="6">
        <v>83.3</v>
      </c>
      <c r="D28" s="5">
        <v>15</v>
      </c>
      <c r="E28" s="6" t="s">
        <v>15</v>
      </c>
      <c r="F28" s="6">
        <v>1249.5</v>
      </c>
    </row>
    <row r="29" spans="1:6" x14ac:dyDescent="0.25">
      <c r="A29" s="4" t="s">
        <v>10</v>
      </c>
      <c r="B29" s="5">
        <v>33</v>
      </c>
      <c r="C29" s="6">
        <v>83.3</v>
      </c>
      <c r="D29" s="5">
        <v>5</v>
      </c>
      <c r="E29" s="6" t="s">
        <v>15</v>
      </c>
      <c r="F29" s="6">
        <v>416.5</v>
      </c>
    </row>
    <row r="30" spans="1:6" x14ac:dyDescent="0.25">
      <c r="A30" s="4" t="s">
        <v>9</v>
      </c>
      <c r="B30" s="5">
        <v>33</v>
      </c>
      <c r="C30" s="6">
        <v>83.3</v>
      </c>
      <c r="D30" s="5">
        <v>0</v>
      </c>
      <c r="E30" s="6" t="s">
        <v>15</v>
      </c>
      <c r="F30" s="6">
        <v>0</v>
      </c>
    </row>
    <row r="31" spans="1:6" x14ac:dyDescent="0.25">
      <c r="A31" s="4" t="s">
        <v>5</v>
      </c>
      <c r="B31" s="5">
        <v>32</v>
      </c>
      <c r="C31" s="6">
        <v>89.9</v>
      </c>
      <c r="D31" s="5">
        <v>3</v>
      </c>
      <c r="E31" s="6" t="s">
        <v>15</v>
      </c>
      <c r="F31" s="6">
        <v>269.70000000000005</v>
      </c>
    </row>
    <row r="32" spans="1:6" x14ac:dyDescent="0.25">
      <c r="A32" s="4" t="s">
        <v>7</v>
      </c>
      <c r="B32" s="5">
        <v>32</v>
      </c>
      <c r="C32" s="6">
        <v>89.9</v>
      </c>
      <c r="D32" s="5">
        <v>8</v>
      </c>
      <c r="E32" s="6" t="s">
        <v>15</v>
      </c>
      <c r="F32" s="6">
        <v>719.2</v>
      </c>
    </row>
    <row r="33" spans="1:6" x14ac:dyDescent="0.25">
      <c r="A33" s="4" t="s">
        <v>6</v>
      </c>
      <c r="B33" s="5">
        <v>32</v>
      </c>
      <c r="C33" s="6">
        <v>89.9</v>
      </c>
      <c r="D33" s="5">
        <v>8</v>
      </c>
      <c r="E33" s="6" t="s">
        <v>15</v>
      </c>
      <c r="F33" s="6">
        <v>719.2</v>
      </c>
    </row>
    <row r="34" spans="1:6" x14ac:dyDescent="0.25">
      <c r="A34" s="4" t="s">
        <v>8</v>
      </c>
      <c r="B34" s="5">
        <v>32</v>
      </c>
      <c r="C34" s="6">
        <v>83.3</v>
      </c>
      <c r="D34" s="5">
        <v>5</v>
      </c>
      <c r="E34" s="6" t="s">
        <v>15</v>
      </c>
      <c r="F34" s="6">
        <v>416.5</v>
      </c>
    </row>
    <row r="35" spans="1:6" x14ac:dyDescent="0.25">
      <c r="A35" s="4" t="s">
        <v>10</v>
      </c>
      <c r="B35" s="5">
        <v>32</v>
      </c>
      <c r="C35" s="6">
        <v>83.3</v>
      </c>
      <c r="D35" s="5">
        <v>0</v>
      </c>
      <c r="E35" s="6" t="s">
        <v>15</v>
      </c>
      <c r="F35" s="6">
        <v>0</v>
      </c>
    </row>
    <row r="36" spans="1:6" x14ac:dyDescent="0.25">
      <c r="A36" s="4" t="s">
        <v>9</v>
      </c>
      <c r="B36" s="5">
        <v>32</v>
      </c>
      <c r="C36" s="6">
        <v>83.3</v>
      </c>
      <c r="D36" s="5">
        <v>0</v>
      </c>
      <c r="E36" s="6" t="s">
        <v>15</v>
      </c>
      <c r="F36" s="6">
        <v>0</v>
      </c>
    </row>
    <row r="37" spans="1:6" x14ac:dyDescent="0.25">
      <c r="A37" s="4" t="s">
        <v>5</v>
      </c>
      <c r="B37" s="5">
        <v>31</v>
      </c>
      <c r="C37" s="6">
        <v>89.9</v>
      </c>
      <c r="D37" s="5">
        <v>8</v>
      </c>
      <c r="E37" s="6" t="s">
        <v>15</v>
      </c>
      <c r="F37" s="6">
        <v>719.2</v>
      </c>
    </row>
    <row r="38" spans="1:6" x14ac:dyDescent="0.25">
      <c r="A38" s="7" t="s">
        <v>7</v>
      </c>
      <c r="B38" s="8">
        <v>31</v>
      </c>
      <c r="C38" s="9">
        <v>89.9</v>
      </c>
      <c r="D38" s="8">
        <v>23</v>
      </c>
      <c r="E38" s="6" t="s">
        <v>15</v>
      </c>
      <c r="F38" s="6">
        <v>2067.7000000000003</v>
      </c>
    </row>
    <row r="39" spans="1:6" x14ac:dyDescent="0.25">
      <c r="A39" s="7" t="s">
        <v>6</v>
      </c>
      <c r="B39" s="8">
        <v>31</v>
      </c>
      <c r="C39" s="9">
        <v>89.9</v>
      </c>
      <c r="D39" s="8">
        <v>15</v>
      </c>
      <c r="E39" s="6" t="s">
        <v>15</v>
      </c>
      <c r="F39" s="6">
        <v>1348.5</v>
      </c>
    </row>
    <row r="40" spans="1:6" x14ac:dyDescent="0.25">
      <c r="A40" s="7" t="s">
        <v>8</v>
      </c>
      <c r="B40" s="8">
        <v>31</v>
      </c>
      <c r="C40" s="9">
        <v>83.3</v>
      </c>
      <c r="D40" s="8">
        <v>4</v>
      </c>
      <c r="E40" s="6" t="s">
        <v>15</v>
      </c>
      <c r="F40" s="6">
        <v>333.2</v>
      </c>
    </row>
    <row r="41" spans="1:6" x14ac:dyDescent="0.25">
      <c r="A41" s="7" t="s">
        <v>10</v>
      </c>
      <c r="B41" s="8">
        <v>31</v>
      </c>
      <c r="C41" s="9">
        <v>83.3</v>
      </c>
      <c r="D41" s="8">
        <v>6</v>
      </c>
      <c r="E41" s="6" t="s">
        <v>15</v>
      </c>
      <c r="F41" s="6">
        <v>499.79999999999995</v>
      </c>
    </row>
    <row r="42" spans="1:6" x14ac:dyDescent="0.25">
      <c r="A42" s="7" t="s">
        <v>9</v>
      </c>
      <c r="B42" s="8">
        <v>31</v>
      </c>
      <c r="C42" s="9">
        <v>83.3</v>
      </c>
      <c r="D42" s="8">
        <v>20</v>
      </c>
      <c r="E42" s="6" t="s">
        <v>15</v>
      </c>
      <c r="F42" s="6">
        <v>1666</v>
      </c>
    </row>
    <row r="43" spans="1:6" x14ac:dyDescent="0.25">
      <c r="A43" s="7" t="s">
        <v>5</v>
      </c>
      <c r="B43" s="8">
        <v>30</v>
      </c>
      <c r="C43" s="9">
        <v>89.9</v>
      </c>
      <c r="D43" s="8">
        <v>25</v>
      </c>
      <c r="E43" s="6" t="s">
        <v>15</v>
      </c>
      <c r="F43" s="6">
        <v>2247.5</v>
      </c>
    </row>
    <row r="44" spans="1:6" x14ac:dyDescent="0.25">
      <c r="A44" s="7" t="s">
        <v>7</v>
      </c>
      <c r="B44" s="8">
        <v>30</v>
      </c>
      <c r="C44" s="9">
        <v>89.9</v>
      </c>
      <c r="D44" s="8">
        <v>3</v>
      </c>
      <c r="E44" s="6" t="s">
        <v>15</v>
      </c>
      <c r="F44" s="6">
        <v>269.70000000000005</v>
      </c>
    </row>
    <row r="45" spans="1:6" x14ac:dyDescent="0.25">
      <c r="A45" s="7" t="s">
        <v>6</v>
      </c>
      <c r="B45" s="8">
        <v>30</v>
      </c>
      <c r="C45" s="9">
        <v>89.9</v>
      </c>
      <c r="D45" s="8">
        <v>6</v>
      </c>
      <c r="E45" s="6" t="s">
        <v>15</v>
      </c>
      <c r="F45" s="6">
        <v>539.40000000000009</v>
      </c>
    </row>
    <row r="46" spans="1:6" x14ac:dyDescent="0.25">
      <c r="A46" s="7" t="s">
        <v>8</v>
      </c>
      <c r="B46" s="8">
        <v>30</v>
      </c>
      <c r="C46" s="9">
        <v>83.3</v>
      </c>
      <c r="D46" s="8">
        <v>0</v>
      </c>
      <c r="E46" s="6" t="s">
        <v>15</v>
      </c>
      <c r="F46" s="6">
        <v>0</v>
      </c>
    </row>
    <row r="47" spans="1:6" x14ac:dyDescent="0.25">
      <c r="A47" s="4" t="s">
        <v>10</v>
      </c>
      <c r="B47" s="5">
        <v>30</v>
      </c>
      <c r="C47" s="6">
        <v>83.3</v>
      </c>
      <c r="D47" s="5">
        <v>3</v>
      </c>
      <c r="E47" s="6" t="s">
        <v>15</v>
      </c>
      <c r="F47" s="6">
        <v>249.89999999999998</v>
      </c>
    </row>
    <row r="48" spans="1:6" x14ac:dyDescent="0.25">
      <c r="A48" s="4" t="s">
        <v>9</v>
      </c>
      <c r="B48" s="5">
        <v>30</v>
      </c>
      <c r="C48" s="6">
        <v>83.3</v>
      </c>
      <c r="D48" s="5">
        <v>16</v>
      </c>
      <c r="E48" s="6" t="s">
        <v>15</v>
      </c>
      <c r="F48" s="6">
        <v>1332.8</v>
      </c>
    </row>
    <row r="49" spans="1:6" x14ac:dyDescent="0.25">
      <c r="A49" s="4" t="s">
        <v>5</v>
      </c>
      <c r="B49" s="5">
        <v>29</v>
      </c>
      <c r="C49" s="6">
        <v>89.9</v>
      </c>
      <c r="D49" s="5">
        <v>0</v>
      </c>
      <c r="E49" s="6" t="s">
        <v>15</v>
      </c>
      <c r="F49" s="6">
        <v>0</v>
      </c>
    </row>
    <row r="50" spans="1:6" x14ac:dyDescent="0.25">
      <c r="A50" s="4" t="s">
        <v>7</v>
      </c>
      <c r="B50" s="5">
        <v>29</v>
      </c>
      <c r="C50" s="6">
        <v>89.9</v>
      </c>
      <c r="D50" s="5">
        <v>1</v>
      </c>
      <c r="E50" s="6" t="s">
        <v>15</v>
      </c>
      <c r="F50" s="6">
        <v>89.9</v>
      </c>
    </row>
    <row r="51" spans="1:6" x14ac:dyDescent="0.25">
      <c r="A51" s="4" t="s">
        <v>6</v>
      </c>
      <c r="B51" s="5">
        <v>29</v>
      </c>
      <c r="C51" s="6">
        <v>89.9</v>
      </c>
      <c r="D51" s="5">
        <v>8</v>
      </c>
      <c r="E51" s="6" t="s">
        <v>15</v>
      </c>
      <c r="F51" s="6">
        <v>719.2</v>
      </c>
    </row>
    <row r="52" spans="1:6" x14ac:dyDescent="0.25">
      <c r="A52" s="4" t="s">
        <v>8</v>
      </c>
      <c r="B52" s="5">
        <v>29</v>
      </c>
      <c r="C52" s="6">
        <v>83.3</v>
      </c>
      <c r="D52" s="5">
        <v>5</v>
      </c>
      <c r="E52" s="6" t="s">
        <v>15</v>
      </c>
      <c r="F52" s="6">
        <v>416.5</v>
      </c>
    </row>
    <row r="53" spans="1:6" x14ac:dyDescent="0.25">
      <c r="A53" s="4" t="s">
        <v>10</v>
      </c>
      <c r="B53" s="5">
        <v>29</v>
      </c>
      <c r="C53" s="6">
        <v>83.3</v>
      </c>
      <c r="D53" s="5">
        <v>2</v>
      </c>
      <c r="E53" s="6" t="s">
        <v>15</v>
      </c>
      <c r="F53" s="6">
        <v>166.6</v>
      </c>
    </row>
    <row r="54" spans="1:6" x14ac:dyDescent="0.25">
      <c r="A54" s="4" t="s">
        <v>9</v>
      </c>
      <c r="B54" s="5">
        <v>29</v>
      </c>
      <c r="C54" s="6">
        <v>83.3</v>
      </c>
      <c r="D54" s="5">
        <v>7</v>
      </c>
      <c r="E54" s="6" t="s">
        <v>15</v>
      </c>
      <c r="F54" s="6">
        <v>583.1</v>
      </c>
    </row>
    <row r="55" spans="1:6" x14ac:dyDescent="0.25">
      <c r="A55" s="4" t="s">
        <v>5</v>
      </c>
      <c r="B55" s="5">
        <v>28</v>
      </c>
      <c r="C55" s="6">
        <v>89.9</v>
      </c>
      <c r="D55" s="5">
        <v>5</v>
      </c>
      <c r="E55" s="6" t="s">
        <v>15</v>
      </c>
      <c r="F55" s="6">
        <v>449.5</v>
      </c>
    </row>
    <row r="56" spans="1:6" x14ac:dyDescent="0.25">
      <c r="A56" s="4" t="s">
        <v>7</v>
      </c>
      <c r="B56" s="5">
        <v>28</v>
      </c>
      <c r="C56" s="6">
        <v>89.9</v>
      </c>
      <c r="D56" s="5">
        <v>21</v>
      </c>
      <c r="E56" s="6" t="s">
        <v>15</v>
      </c>
      <c r="F56" s="6">
        <v>1887.9</v>
      </c>
    </row>
    <row r="57" spans="1:6" x14ac:dyDescent="0.25">
      <c r="A57" s="4" t="s">
        <v>6</v>
      </c>
      <c r="B57" s="5">
        <v>28</v>
      </c>
      <c r="C57" s="6">
        <v>89.9</v>
      </c>
      <c r="D57" s="5">
        <v>5</v>
      </c>
      <c r="E57" s="6" t="s">
        <v>15</v>
      </c>
      <c r="F57" s="6">
        <v>449.5</v>
      </c>
    </row>
    <row r="58" spans="1:6" x14ac:dyDescent="0.25">
      <c r="A58" s="7" t="s">
        <v>8</v>
      </c>
      <c r="B58" s="8">
        <v>28</v>
      </c>
      <c r="C58" s="9">
        <v>83.3</v>
      </c>
      <c r="D58" s="8">
        <v>29</v>
      </c>
      <c r="E58" s="6" t="s">
        <v>15</v>
      </c>
      <c r="F58" s="6">
        <v>2415.6999999999998</v>
      </c>
    </row>
    <row r="59" spans="1:6" x14ac:dyDescent="0.25">
      <c r="A59" s="7" t="s">
        <v>10</v>
      </c>
      <c r="B59" s="8">
        <v>28</v>
      </c>
      <c r="C59" s="9">
        <v>83.3</v>
      </c>
      <c r="D59" s="8">
        <v>18</v>
      </c>
      <c r="E59" s="6" t="s">
        <v>15</v>
      </c>
      <c r="F59" s="6">
        <v>1499.3999999999999</v>
      </c>
    </row>
    <row r="60" spans="1:6" x14ac:dyDescent="0.25">
      <c r="A60" s="7" t="s">
        <v>9</v>
      </c>
      <c r="B60" s="8">
        <v>28</v>
      </c>
      <c r="C60" s="9">
        <v>83.3</v>
      </c>
      <c r="D60" s="8">
        <v>8</v>
      </c>
      <c r="E60" s="6" t="s">
        <v>15</v>
      </c>
      <c r="F60" s="6">
        <v>666.4</v>
      </c>
    </row>
    <row r="61" spans="1:6" x14ac:dyDescent="0.25">
      <c r="A61" s="7" t="s">
        <v>5</v>
      </c>
      <c r="B61" s="8">
        <v>27</v>
      </c>
      <c r="C61" s="9">
        <v>85.5</v>
      </c>
      <c r="D61" s="8">
        <v>23</v>
      </c>
      <c r="E61" s="6" t="s">
        <v>15</v>
      </c>
      <c r="F61" s="6">
        <v>1966.5</v>
      </c>
    </row>
    <row r="62" spans="1:6" x14ac:dyDescent="0.25">
      <c r="A62" s="7" t="s">
        <v>7</v>
      </c>
      <c r="B62" s="8">
        <v>27</v>
      </c>
      <c r="C62" s="9">
        <v>85.5</v>
      </c>
      <c r="D62" s="8">
        <v>26</v>
      </c>
      <c r="E62" s="6" t="s">
        <v>15</v>
      </c>
      <c r="F62" s="6">
        <v>2223</v>
      </c>
    </row>
    <row r="63" spans="1:6" x14ac:dyDescent="0.25">
      <c r="A63" s="7" t="s">
        <v>6</v>
      </c>
      <c r="B63" s="8">
        <v>27</v>
      </c>
      <c r="C63" s="9">
        <v>85.5</v>
      </c>
      <c r="D63" s="8">
        <v>30</v>
      </c>
      <c r="E63" s="6" t="s">
        <v>16</v>
      </c>
      <c r="F63" s="6">
        <v>2565</v>
      </c>
    </row>
    <row r="64" spans="1:6" x14ac:dyDescent="0.25">
      <c r="A64" s="7" t="s">
        <v>8</v>
      </c>
      <c r="B64" s="8">
        <v>27</v>
      </c>
      <c r="C64" s="9">
        <v>79.8</v>
      </c>
      <c r="D64" s="8">
        <v>15</v>
      </c>
      <c r="E64" s="6" t="s">
        <v>15</v>
      </c>
      <c r="F64" s="6">
        <v>1197</v>
      </c>
    </row>
    <row r="65" spans="1:6" x14ac:dyDescent="0.25">
      <c r="A65" s="7" t="s">
        <v>10</v>
      </c>
      <c r="B65" s="8">
        <v>27</v>
      </c>
      <c r="C65" s="9">
        <v>79.8</v>
      </c>
      <c r="D65" s="8">
        <v>18</v>
      </c>
      <c r="E65" s="6" t="s">
        <v>15</v>
      </c>
      <c r="F65" s="6">
        <v>1436.3999999999999</v>
      </c>
    </row>
    <row r="66" spans="1:6" x14ac:dyDescent="0.25">
      <c r="A66" s="7" t="s">
        <v>9</v>
      </c>
      <c r="B66" s="8">
        <v>27</v>
      </c>
      <c r="C66" s="9">
        <v>79.8</v>
      </c>
      <c r="D66" s="8">
        <v>2</v>
      </c>
      <c r="E66" s="6" t="s">
        <v>15</v>
      </c>
      <c r="F66" s="6">
        <v>159.6</v>
      </c>
    </row>
    <row r="67" spans="1:6" x14ac:dyDescent="0.25">
      <c r="A67" s="4" t="s">
        <v>5</v>
      </c>
      <c r="B67" s="5">
        <v>26</v>
      </c>
      <c r="C67" s="6">
        <v>85.5</v>
      </c>
      <c r="D67" s="5">
        <v>26</v>
      </c>
      <c r="E67" s="6" t="s">
        <v>15</v>
      </c>
      <c r="F67" s="6">
        <v>2223</v>
      </c>
    </row>
    <row r="68" spans="1:6" x14ac:dyDescent="0.25">
      <c r="A68" s="4" t="s">
        <v>7</v>
      </c>
      <c r="B68" s="5">
        <v>26</v>
      </c>
      <c r="C68" s="6">
        <v>85.5</v>
      </c>
      <c r="D68" s="5">
        <v>25</v>
      </c>
      <c r="E68" s="6" t="s">
        <v>15</v>
      </c>
      <c r="F68" s="6">
        <v>2137.5</v>
      </c>
    </row>
    <row r="69" spans="1:6" x14ac:dyDescent="0.25">
      <c r="A69" s="4" t="s">
        <v>6</v>
      </c>
      <c r="B69" s="5">
        <v>26</v>
      </c>
      <c r="C69" s="6">
        <v>85.5</v>
      </c>
      <c r="D69" s="5">
        <v>8</v>
      </c>
      <c r="E69" s="6" t="s">
        <v>15</v>
      </c>
      <c r="F69" s="6">
        <v>684</v>
      </c>
    </row>
    <row r="70" spans="1:6" x14ac:dyDescent="0.25">
      <c r="A70" s="4" t="s">
        <v>8</v>
      </c>
      <c r="B70" s="5">
        <v>26</v>
      </c>
      <c r="C70" s="6">
        <v>79.8</v>
      </c>
      <c r="D70" s="5">
        <v>14</v>
      </c>
      <c r="E70" s="6" t="s">
        <v>15</v>
      </c>
      <c r="F70" s="6">
        <v>1117.2</v>
      </c>
    </row>
    <row r="71" spans="1:6" x14ac:dyDescent="0.25">
      <c r="A71" s="4" t="s">
        <v>10</v>
      </c>
      <c r="B71" s="5">
        <v>26</v>
      </c>
      <c r="C71" s="6">
        <v>79.8</v>
      </c>
      <c r="D71" s="5">
        <v>15</v>
      </c>
      <c r="E71" s="6" t="s">
        <v>15</v>
      </c>
      <c r="F71" s="6">
        <v>1197</v>
      </c>
    </row>
    <row r="72" spans="1:6" x14ac:dyDescent="0.25">
      <c r="A72" s="4" t="s">
        <v>9</v>
      </c>
      <c r="B72" s="5">
        <v>26</v>
      </c>
      <c r="C72" s="6">
        <v>79.8</v>
      </c>
      <c r="D72" s="5">
        <v>25</v>
      </c>
      <c r="E72" s="6" t="s">
        <v>15</v>
      </c>
      <c r="F72" s="6">
        <v>1995</v>
      </c>
    </row>
    <row r="73" spans="1:6" x14ac:dyDescent="0.25">
      <c r="A73" s="4" t="s">
        <v>5</v>
      </c>
      <c r="B73" s="5">
        <v>25</v>
      </c>
      <c r="C73" s="6">
        <v>85.5</v>
      </c>
      <c r="D73" s="5">
        <v>2</v>
      </c>
      <c r="E73" s="6" t="s">
        <v>15</v>
      </c>
      <c r="F73" s="6">
        <v>171</v>
      </c>
    </row>
    <row r="74" spans="1:6" x14ac:dyDescent="0.25">
      <c r="A74" s="4" t="s">
        <v>7</v>
      </c>
      <c r="B74" s="5">
        <v>25</v>
      </c>
      <c r="C74" s="6">
        <v>85.5</v>
      </c>
      <c r="D74" s="5">
        <v>19</v>
      </c>
      <c r="E74" s="6" t="s">
        <v>15</v>
      </c>
      <c r="F74" s="6">
        <v>1624.5</v>
      </c>
    </row>
    <row r="75" spans="1:6" x14ac:dyDescent="0.25">
      <c r="A75" s="4" t="s">
        <v>6</v>
      </c>
      <c r="B75" s="5">
        <v>25</v>
      </c>
      <c r="C75" s="6">
        <v>85.5</v>
      </c>
      <c r="D75" s="5">
        <v>6</v>
      </c>
      <c r="E75" s="6" t="s">
        <v>15</v>
      </c>
      <c r="F75" s="6">
        <v>513</v>
      </c>
    </row>
    <row r="76" spans="1:6" x14ac:dyDescent="0.25">
      <c r="A76" s="4" t="s">
        <v>8</v>
      </c>
      <c r="B76" s="5">
        <v>25</v>
      </c>
      <c r="C76" s="6">
        <v>79.8</v>
      </c>
      <c r="D76" s="5">
        <v>16</v>
      </c>
      <c r="E76" s="6" t="s">
        <v>15</v>
      </c>
      <c r="F76" s="6">
        <v>1276.8</v>
      </c>
    </row>
    <row r="77" spans="1:6" x14ac:dyDescent="0.25">
      <c r="A77" s="4" t="s">
        <v>10</v>
      </c>
      <c r="B77" s="5">
        <v>25</v>
      </c>
      <c r="C77" s="6">
        <v>79.8</v>
      </c>
      <c r="D77" s="5">
        <v>9</v>
      </c>
      <c r="E77" s="6" t="s">
        <v>15</v>
      </c>
      <c r="F77" s="6">
        <v>718.19999999999993</v>
      </c>
    </row>
    <row r="78" spans="1:6" x14ac:dyDescent="0.25">
      <c r="A78" s="7" t="s">
        <v>9</v>
      </c>
      <c r="B78" s="8">
        <v>25</v>
      </c>
      <c r="C78" s="9">
        <v>79.8</v>
      </c>
      <c r="D78" s="8">
        <v>15</v>
      </c>
      <c r="E78" s="6" t="s">
        <v>15</v>
      </c>
      <c r="F78" s="6">
        <v>1197</v>
      </c>
    </row>
    <row r="79" spans="1:6" x14ac:dyDescent="0.25">
      <c r="A79" s="7" t="s">
        <v>5</v>
      </c>
      <c r="B79" s="8">
        <v>24</v>
      </c>
      <c r="C79" s="9">
        <v>85.5</v>
      </c>
      <c r="D79" s="8">
        <v>25</v>
      </c>
      <c r="E79" s="6" t="s">
        <v>15</v>
      </c>
      <c r="F79" s="6">
        <v>2137.5</v>
      </c>
    </row>
    <row r="80" spans="1:6" x14ac:dyDescent="0.25">
      <c r="A80" s="7" t="s">
        <v>7</v>
      </c>
      <c r="B80" s="8">
        <v>24</v>
      </c>
      <c r="C80" s="9">
        <v>85.5</v>
      </c>
      <c r="D80" s="8">
        <v>16</v>
      </c>
      <c r="E80" s="6" t="s">
        <v>15</v>
      </c>
      <c r="F80" s="6">
        <v>1368</v>
      </c>
    </row>
    <row r="81" spans="1:6" x14ac:dyDescent="0.25">
      <c r="A81" s="7" t="s">
        <v>6</v>
      </c>
      <c r="B81" s="8">
        <v>24</v>
      </c>
      <c r="C81" s="9">
        <v>85.5</v>
      </c>
      <c r="D81" s="8">
        <v>25</v>
      </c>
      <c r="E81" s="6" t="s">
        <v>15</v>
      </c>
      <c r="F81" s="6">
        <v>2137.5</v>
      </c>
    </row>
    <row r="82" spans="1:6" x14ac:dyDescent="0.25">
      <c r="A82" s="7" t="s">
        <v>8</v>
      </c>
      <c r="B82" s="8">
        <v>24</v>
      </c>
      <c r="C82" s="9">
        <v>79.8</v>
      </c>
      <c r="D82" s="8">
        <v>15</v>
      </c>
      <c r="E82" s="6" t="s">
        <v>15</v>
      </c>
      <c r="F82" s="6">
        <v>1197</v>
      </c>
    </row>
    <row r="83" spans="1:6" x14ac:dyDescent="0.25">
      <c r="A83" s="7" t="s">
        <v>10</v>
      </c>
      <c r="B83" s="8">
        <v>24</v>
      </c>
      <c r="C83" s="9">
        <v>79.8</v>
      </c>
      <c r="D83" s="8">
        <v>8</v>
      </c>
      <c r="E83" s="6" t="s">
        <v>15</v>
      </c>
      <c r="F83" s="6">
        <v>638.4</v>
      </c>
    </row>
    <row r="84" spans="1:6" x14ac:dyDescent="0.25">
      <c r="A84" s="7" t="s">
        <v>9</v>
      </c>
      <c r="B84" s="8">
        <v>24</v>
      </c>
      <c r="C84" s="9">
        <v>79.8</v>
      </c>
      <c r="D84" s="8">
        <v>23</v>
      </c>
      <c r="E84" s="6" t="s">
        <v>15</v>
      </c>
      <c r="F84" s="6">
        <v>1835.3999999999999</v>
      </c>
    </row>
    <row r="85" spans="1:6" x14ac:dyDescent="0.25">
      <c r="A85" s="7" t="s">
        <v>5</v>
      </c>
      <c r="B85" s="8">
        <v>23</v>
      </c>
      <c r="C85" s="9">
        <v>85.5</v>
      </c>
      <c r="D85" s="8">
        <v>2</v>
      </c>
      <c r="E85" s="6" t="s">
        <v>15</v>
      </c>
      <c r="F85" s="6">
        <v>171</v>
      </c>
    </row>
    <row r="86" spans="1:6" x14ac:dyDescent="0.25">
      <c r="A86" s="7" t="s">
        <v>7</v>
      </c>
      <c r="B86" s="8">
        <v>23</v>
      </c>
      <c r="C86" s="9">
        <v>85.5</v>
      </c>
      <c r="D86" s="8">
        <v>5</v>
      </c>
      <c r="E86" s="6" t="s">
        <v>15</v>
      </c>
      <c r="F86" s="6">
        <v>427.5</v>
      </c>
    </row>
    <row r="87" spans="1:6" x14ac:dyDescent="0.25">
      <c r="A87" s="4" t="s">
        <v>6</v>
      </c>
      <c r="B87" s="5">
        <v>23</v>
      </c>
      <c r="C87" s="6">
        <v>85.5</v>
      </c>
      <c r="D87" s="5">
        <v>0</v>
      </c>
      <c r="E87" s="6" t="s">
        <v>15</v>
      </c>
      <c r="F87" s="6">
        <v>0</v>
      </c>
    </row>
    <row r="88" spans="1:6" x14ac:dyDescent="0.25">
      <c r="A88" s="4" t="s">
        <v>8</v>
      </c>
      <c r="B88" s="5">
        <v>23</v>
      </c>
      <c r="C88" s="6">
        <v>79.8</v>
      </c>
      <c r="D88" s="5">
        <v>16</v>
      </c>
      <c r="E88" s="6" t="s">
        <v>15</v>
      </c>
      <c r="F88" s="6">
        <v>1276.8</v>
      </c>
    </row>
    <row r="89" spans="1:6" x14ac:dyDescent="0.25">
      <c r="A89" s="4" t="s">
        <v>10</v>
      </c>
      <c r="B89" s="5">
        <v>23</v>
      </c>
      <c r="C89" s="6">
        <v>79.8</v>
      </c>
      <c r="D89" s="5">
        <v>6</v>
      </c>
      <c r="E89" s="6" t="s">
        <v>15</v>
      </c>
      <c r="F89" s="6">
        <v>478.79999999999995</v>
      </c>
    </row>
    <row r="90" spans="1:6" x14ac:dyDescent="0.25">
      <c r="A90" s="4" t="s">
        <v>9</v>
      </c>
      <c r="B90" s="5">
        <v>23</v>
      </c>
      <c r="C90" s="6">
        <v>79.8</v>
      </c>
      <c r="D90" s="5">
        <v>8</v>
      </c>
      <c r="E90" s="6" t="s">
        <v>15</v>
      </c>
      <c r="F90" s="6">
        <v>638.4</v>
      </c>
    </row>
    <row r="91" spans="1:6" x14ac:dyDescent="0.25">
      <c r="A91" s="17" t="s">
        <v>5</v>
      </c>
      <c r="B91" s="18">
        <v>22</v>
      </c>
      <c r="C91" s="19">
        <v>85.5</v>
      </c>
      <c r="D91" s="18">
        <v>8</v>
      </c>
      <c r="E91" s="19" t="s">
        <v>15</v>
      </c>
      <c r="F91" s="19">
        <v>684</v>
      </c>
    </row>
    <row r="92" spans="1:6" x14ac:dyDescent="0.25">
      <c r="A92" s="4" t="s">
        <v>7</v>
      </c>
      <c r="B92" s="5">
        <v>22</v>
      </c>
      <c r="C92" s="6">
        <v>85.5</v>
      </c>
      <c r="D92" s="5">
        <v>0</v>
      </c>
      <c r="E92" s="6" t="s">
        <v>15</v>
      </c>
      <c r="F92" s="6">
        <v>0</v>
      </c>
    </row>
    <row r="93" spans="1:6" x14ac:dyDescent="0.25">
      <c r="A93" s="4" t="s">
        <v>6</v>
      </c>
      <c r="B93" s="5">
        <v>22</v>
      </c>
      <c r="C93" s="6">
        <v>85.5</v>
      </c>
      <c r="D93" s="5">
        <v>5</v>
      </c>
      <c r="E93" s="6" t="s">
        <v>15</v>
      </c>
      <c r="F93" s="6">
        <v>427.5</v>
      </c>
    </row>
    <row r="94" spans="1:6" x14ac:dyDescent="0.25">
      <c r="A94" s="4" t="s">
        <v>8</v>
      </c>
      <c r="B94" s="5">
        <v>22</v>
      </c>
      <c r="C94" s="6">
        <v>79.8</v>
      </c>
      <c r="D94" s="5">
        <v>5</v>
      </c>
      <c r="E94" s="6" t="s">
        <v>15</v>
      </c>
      <c r="F94" s="6">
        <v>399</v>
      </c>
    </row>
    <row r="95" spans="1:6" x14ac:dyDescent="0.25">
      <c r="A95" s="4" t="s">
        <v>10</v>
      </c>
      <c r="B95" s="5">
        <v>22</v>
      </c>
      <c r="C95" s="6">
        <v>79.8</v>
      </c>
      <c r="D95" s="5">
        <v>0</v>
      </c>
      <c r="E95" s="6" t="s">
        <v>15</v>
      </c>
      <c r="F95" s="6">
        <v>0</v>
      </c>
    </row>
    <row r="96" spans="1:6" x14ac:dyDescent="0.25">
      <c r="A96" s="4" t="s">
        <v>9</v>
      </c>
      <c r="B96" s="5">
        <v>22</v>
      </c>
      <c r="C96" s="6">
        <v>79.8</v>
      </c>
      <c r="D96" s="5">
        <v>5</v>
      </c>
      <c r="E96" s="6" t="s">
        <v>15</v>
      </c>
      <c r="F96" s="6">
        <v>399</v>
      </c>
    </row>
    <row r="97" spans="1:6" x14ac:dyDescent="0.25">
      <c r="A97" s="4" t="s">
        <v>5</v>
      </c>
      <c r="B97" s="5">
        <v>21</v>
      </c>
      <c r="C97" s="6">
        <v>85.5</v>
      </c>
      <c r="D97" s="5">
        <v>5</v>
      </c>
      <c r="E97" s="6" t="s">
        <v>15</v>
      </c>
      <c r="F97" s="6">
        <v>427.5</v>
      </c>
    </row>
    <row r="98" spans="1:6" x14ac:dyDescent="0.25">
      <c r="A98" s="7" t="s">
        <v>7</v>
      </c>
      <c r="B98" s="8">
        <v>21</v>
      </c>
      <c r="C98" s="9">
        <v>85.5</v>
      </c>
      <c r="D98" s="8">
        <v>19</v>
      </c>
      <c r="E98" s="6" t="s">
        <v>15</v>
      </c>
      <c r="F98" s="6">
        <v>1624.5</v>
      </c>
    </row>
    <row r="99" spans="1:6" x14ac:dyDescent="0.25">
      <c r="A99" s="7" t="s">
        <v>6</v>
      </c>
      <c r="B99" s="8">
        <v>21</v>
      </c>
      <c r="C99" s="9">
        <v>85.5</v>
      </c>
      <c r="D99" s="8">
        <v>19</v>
      </c>
      <c r="E99" s="6" t="s">
        <v>15</v>
      </c>
      <c r="F99" s="6">
        <v>1624.5</v>
      </c>
    </row>
    <row r="100" spans="1:6" x14ac:dyDescent="0.25">
      <c r="A100" s="7" t="s">
        <v>8</v>
      </c>
      <c r="B100" s="8">
        <v>21</v>
      </c>
      <c r="C100" s="9">
        <v>79.8</v>
      </c>
      <c r="D100" s="8">
        <v>0</v>
      </c>
      <c r="E100" s="6" t="s">
        <v>15</v>
      </c>
      <c r="F100" s="6">
        <v>0</v>
      </c>
    </row>
    <row r="101" spans="1:6" x14ac:dyDescent="0.25">
      <c r="A101" s="7" t="s">
        <v>10</v>
      </c>
      <c r="B101" s="8">
        <v>21</v>
      </c>
      <c r="C101" s="9">
        <v>79.8</v>
      </c>
      <c r="D101" s="8">
        <v>0</v>
      </c>
      <c r="E101" s="6" t="s">
        <v>15</v>
      </c>
      <c r="F101" s="6">
        <v>0</v>
      </c>
    </row>
    <row r="102" spans="1:6" x14ac:dyDescent="0.25">
      <c r="A102" s="7" t="s">
        <v>9</v>
      </c>
      <c r="B102" s="8">
        <v>21</v>
      </c>
      <c r="C102" s="9">
        <v>79.8</v>
      </c>
      <c r="D102" s="8">
        <v>12</v>
      </c>
      <c r="E102" s="6" t="s">
        <v>15</v>
      </c>
      <c r="F102" s="6">
        <v>957.59999999999991</v>
      </c>
    </row>
    <row r="103" spans="1:6" x14ac:dyDescent="0.25">
      <c r="A103" s="7" t="s">
        <v>5</v>
      </c>
      <c r="B103" s="8">
        <v>20</v>
      </c>
      <c r="C103" s="9">
        <v>85.5</v>
      </c>
      <c r="D103" s="8">
        <v>16</v>
      </c>
      <c r="E103" s="6" t="s">
        <v>15</v>
      </c>
      <c r="F103" s="6">
        <v>1368</v>
      </c>
    </row>
    <row r="104" spans="1:6" x14ac:dyDescent="0.25">
      <c r="A104" s="7" t="s">
        <v>7</v>
      </c>
      <c r="B104" s="8">
        <v>20</v>
      </c>
      <c r="C104" s="9">
        <v>85.5</v>
      </c>
      <c r="D104" s="8">
        <v>16</v>
      </c>
      <c r="E104" s="6" t="s">
        <v>15</v>
      </c>
      <c r="F104" s="6">
        <v>1368</v>
      </c>
    </row>
    <row r="105" spans="1:6" x14ac:dyDescent="0.25">
      <c r="A105" s="7" t="s">
        <v>6</v>
      </c>
      <c r="B105" s="8">
        <v>20</v>
      </c>
      <c r="C105" s="9">
        <v>85.5</v>
      </c>
      <c r="D105" s="8">
        <v>18</v>
      </c>
      <c r="E105" s="6" t="s">
        <v>15</v>
      </c>
      <c r="F105" s="6">
        <v>1539</v>
      </c>
    </row>
    <row r="106" spans="1:6" x14ac:dyDescent="0.25">
      <c r="A106" s="7" t="s">
        <v>8</v>
      </c>
      <c r="B106" s="8">
        <v>20</v>
      </c>
      <c r="C106" s="9">
        <v>79.8</v>
      </c>
      <c r="D106" s="8">
        <v>1</v>
      </c>
      <c r="E106" s="6" t="s">
        <v>15</v>
      </c>
      <c r="F106" s="6">
        <v>79.8</v>
      </c>
    </row>
    <row r="107" spans="1:6" x14ac:dyDescent="0.25">
      <c r="A107" s="4" t="s">
        <v>10</v>
      </c>
      <c r="B107" s="5">
        <v>20</v>
      </c>
      <c r="C107" s="6">
        <v>79.8</v>
      </c>
      <c r="D107" s="5">
        <v>1</v>
      </c>
      <c r="E107" s="6" t="s">
        <v>15</v>
      </c>
      <c r="F107" s="6">
        <v>79.8</v>
      </c>
    </row>
    <row r="108" spans="1:6" x14ac:dyDescent="0.25">
      <c r="A108" s="4" t="s">
        <v>9</v>
      </c>
      <c r="B108" s="5">
        <v>20</v>
      </c>
      <c r="C108" s="6">
        <v>79.8</v>
      </c>
      <c r="D108" s="5">
        <v>21</v>
      </c>
      <c r="E108" s="6" t="s">
        <v>15</v>
      </c>
      <c r="F108" s="6">
        <v>1675.8</v>
      </c>
    </row>
    <row r="109" spans="1:6" x14ac:dyDescent="0.25">
      <c r="A109" s="17" t="s">
        <v>5</v>
      </c>
      <c r="B109" s="18">
        <v>19</v>
      </c>
      <c r="C109" s="19">
        <v>85.5</v>
      </c>
      <c r="D109" s="18">
        <v>8</v>
      </c>
      <c r="E109" s="19" t="s">
        <v>15</v>
      </c>
      <c r="F109" s="19">
        <v>684</v>
      </c>
    </row>
    <row r="110" spans="1:6" x14ac:dyDescent="0.25">
      <c r="A110" s="4" t="s">
        <v>7</v>
      </c>
      <c r="B110" s="5">
        <v>19</v>
      </c>
      <c r="C110" s="6">
        <v>85.5</v>
      </c>
      <c r="D110" s="5">
        <v>25</v>
      </c>
      <c r="E110" s="6" t="s">
        <v>15</v>
      </c>
      <c r="F110" s="6">
        <v>2137.5</v>
      </c>
    </row>
    <row r="111" spans="1:6" x14ac:dyDescent="0.25">
      <c r="A111" s="17" t="s">
        <v>6</v>
      </c>
      <c r="B111" s="18">
        <v>19</v>
      </c>
      <c r="C111" s="19">
        <v>85.5</v>
      </c>
      <c r="D111" s="18">
        <v>16</v>
      </c>
      <c r="E111" s="19" t="s">
        <v>15</v>
      </c>
      <c r="F111" s="19">
        <v>1368</v>
      </c>
    </row>
    <row r="112" spans="1:6" x14ac:dyDescent="0.25">
      <c r="A112" s="4" t="s">
        <v>8</v>
      </c>
      <c r="B112" s="5">
        <v>19</v>
      </c>
      <c r="C112" s="6">
        <v>79.8</v>
      </c>
      <c r="D112" s="5">
        <v>3</v>
      </c>
      <c r="E112" s="6" t="s">
        <v>15</v>
      </c>
      <c r="F112" s="6">
        <v>239.39999999999998</v>
      </c>
    </row>
    <row r="113" spans="1:6" x14ac:dyDescent="0.25">
      <c r="A113" s="4" t="s">
        <v>10</v>
      </c>
      <c r="B113" s="5">
        <v>19</v>
      </c>
      <c r="C113" s="6">
        <v>79.8</v>
      </c>
      <c r="D113" s="5">
        <v>2</v>
      </c>
      <c r="E113" s="6" t="s">
        <v>15</v>
      </c>
      <c r="F113" s="6">
        <v>159.6</v>
      </c>
    </row>
    <row r="114" spans="1:6" x14ac:dyDescent="0.25">
      <c r="A114" s="4" t="s">
        <v>9</v>
      </c>
      <c r="B114" s="5">
        <v>19</v>
      </c>
      <c r="C114" s="6">
        <v>79.8</v>
      </c>
      <c r="D114" s="5">
        <v>3</v>
      </c>
      <c r="E114" s="6" t="s">
        <v>15</v>
      </c>
      <c r="F114" s="6">
        <v>239.39999999999998</v>
      </c>
    </row>
    <row r="115" spans="1:6" x14ac:dyDescent="0.25">
      <c r="A115" s="17" t="s">
        <v>5</v>
      </c>
      <c r="B115" s="18">
        <v>18</v>
      </c>
      <c r="C115" s="19">
        <v>85.5</v>
      </c>
      <c r="D115" s="18">
        <v>3</v>
      </c>
      <c r="E115" s="19" t="s">
        <v>15</v>
      </c>
      <c r="F115" s="19">
        <v>256.5</v>
      </c>
    </row>
    <row r="116" spans="1:6" x14ac:dyDescent="0.25">
      <c r="A116" s="17" t="s">
        <v>7</v>
      </c>
      <c r="B116" s="18">
        <v>18</v>
      </c>
      <c r="C116" s="19">
        <v>85.5</v>
      </c>
      <c r="D116" s="18">
        <v>15</v>
      </c>
      <c r="E116" s="19" t="s">
        <v>15</v>
      </c>
      <c r="F116" s="19">
        <v>1282.5</v>
      </c>
    </row>
    <row r="117" spans="1:6" ht="15.75" customHeight="1" x14ac:dyDescent="0.25">
      <c r="A117" s="17" t="s">
        <v>6</v>
      </c>
      <c r="B117" s="18">
        <v>12</v>
      </c>
      <c r="C117" s="19">
        <v>85.5</v>
      </c>
      <c r="D117" s="18">
        <v>5</v>
      </c>
      <c r="E117" s="19" t="s">
        <v>15</v>
      </c>
      <c r="F117" s="19">
        <v>427.5</v>
      </c>
    </row>
    <row r="118" spans="1:6" x14ac:dyDescent="0.25">
      <c r="A118" s="17" t="s">
        <v>8</v>
      </c>
      <c r="B118" s="18">
        <v>18</v>
      </c>
      <c r="C118" s="19">
        <v>79.8</v>
      </c>
      <c r="D118" s="18">
        <v>2</v>
      </c>
      <c r="E118" s="19" t="s">
        <v>15</v>
      </c>
      <c r="F118" s="19">
        <v>159.6</v>
      </c>
    </row>
    <row r="119" spans="1:6" x14ac:dyDescent="0.25">
      <c r="A119" s="20" t="s">
        <v>10</v>
      </c>
      <c r="B119" s="21">
        <v>18</v>
      </c>
      <c r="C119" s="22">
        <v>79.8</v>
      </c>
      <c r="D119" s="21">
        <v>15</v>
      </c>
      <c r="E119" s="19" t="s">
        <v>15</v>
      </c>
      <c r="F119" s="19">
        <v>1197</v>
      </c>
    </row>
    <row r="120" spans="1:6" x14ac:dyDescent="0.25">
      <c r="A120" s="20" t="s">
        <v>9</v>
      </c>
      <c r="B120" s="21">
        <v>18</v>
      </c>
      <c r="C120" s="22">
        <v>79.8</v>
      </c>
      <c r="D120" s="21">
        <v>0</v>
      </c>
      <c r="E120" s="19" t="s">
        <v>15</v>
      </c>
      <c r="F120" s="19">
        <v>0</v>
      </c>
    </row>
    <row r="121" spans="1:6" x14ac:dyDescent="0.25">
      <c r="A121" s="20" t="s">
        <v>5</v>
      </c>
      <c r="B121" s="21">
        <v>17</v>
      </c>
      <c r="C121" s="22">
        <v>85.5</v>
      </c>
      <c r="D121" s="21">
        <v>0</v>
      </c>
      <c r="E121" s="19" t="s">
        <v>15</v>
      </c>
      <c r="F121" s="19">
        <v>0</v>
      </c>
    </row>
    <row r="122" spans="1:6" x14ac:dyDescent="0.25">
      <c r="A122" s="20" t="s">
        <v>7</v>
      </c>
      <c r="B122" s="21">
        <v>12</v>
      </c>
      <c r="C122" s="22">
        <v>85.5</v>
      </c>
      <c r="D122" s="21">
        <v>6</v>
      </c>
      <c r="E122" s="19" t="s">
        <v>15</v>
      </c>
      <c r="F122" s="19">
        <v>513</v>
      </c>
    </row>
    <row r="123" spans="1:6" x14ac:dyDescent="0.25">
      <c r="A123" s="20" t="s">
        <v>6</v>
      </c>
      <c r="B123" s="21">
        <v>18</v>
      </c>
      <c r="C123" s="22">
        <v>85.5</v>
      </c>
      <c r="D123" s="21">
        <v>2</v>
      </c>
      <c r="E123" s="19" t="s">
        <v>15</v>
      </c>
      <c r="F123" s="19">
        <v>171</v>
      </c>
    </row>
    <row r="124" spans="1:6" x14ac:dyDescent="0.25">
      <c r="A124" s="20" t="s">
        <v>8</v>
      </c>
      <c r="B124" s="21">
        <v>44</v>
      </c>
      <c r="C124" s="22">
        <v>79.8</v>
      </c>
      <c r="D124" s="21">
        <v>25</v>
      </c>
      <c r="E124" s="19" t="s">
        <v>15</v>
      </c>
      <c r="F124" s="19">
        <v>1995</v>
      </c>
    </row>
    <row r="125" spans="1:6" x14ac:dyDescent="0.25">
      <c r="A125" s="20" t="s">
        <v>10</v>
      </c>
      <c r="B125" s="21">
        <v>17</v>
      </c>
      <c r="C125" s="22">
        <v>79.8</v>
      </c>
      <c r="D125" s="21">
        <v>17</v>
      </c>
      <c r="E125" s="19" t="s">
        <v>15</v>
      </c>
      <c r="F125" s="19">
        <v>1356.6</v>
      </c>
    </row>
    <row r="126" spans="1:6" x14ac:dyDescent="0.25">
      <c r="A126" s="20" t="s">
        <v>9</v>
      </c>
      <c r="B126" s="21">
        <v>17</v>
      </c>
      <c r="C126" s="22">
        <v>79.8</v>
      </c>
      <c r="D126" s="21">
        <v>15</v>
      </c>
      <c r="E126" s="19" t="s">
        <v>15</v>
      </c>
      <c r="F126" s="19">
        <v>1197</v>
      </c>
    </row>
    <row r="127" spans="1:6" x14ac:dyDescent="0.25">
      <c r="A127" s="20" t="s">
        <v>9</v>
      </c>
      <c r="B127" s="21">
        <v>16</v>
      </c>
      <c r="C127" s="22">
        <v>59.9</v>
      </c>
      <c r="D127" s="21">
        <v>10</v>
      </c>
      <c r="E127" s="19" t="s">
        <v>15</v>
      </c>
      <c r="F127" s="19">
        <v>599</v>
      </c>
    </row>
    <row r="128" spans="1:6" x14ac:dyDescent="0.25">
      <c r="A128" s="20" t="s">
        <v>9</v>
      </c>
      <c r="B128" s="21">
        <v>18</v>
      </c>
      <c r="C128" s="22">
        <v>19.899999999999999</v>
      </c>
      <c r="D128" s="21">
        <v>5</v>
      </c>
      <c r="E128" s="19" t="s">
        <v>15</v>
      </c>
      <c r="F128" s="19">
        <v>99.5</v>
      </c>
    </row>
    <row r="129" spans="1:6" x14ac:dyDescent="0.25">
      <c r="A129" s="20" t="s">
        <v>5</v>
      </c>
      <c r="B129" s="21">
        <v>33</v>
      </c>
      <c r="C129" s="22">
        <v>12</v>
      </c>
      <c r="D129" s="21">
        <v>12</v>
      </c>
      <c r="E129" s="19" t="s">
        <v>15</v>
      </c>
      <c r="F129" s="19">
        <v>144</v>
      </c>
    </row>
    <row r="130" spans="1:6" x14ac:dyDescent="0.25">
      <c r="A130" s="20" t="s">
        <v>9</v>
      </c>
      <c r="B130" s="21">
        <v>18</v>
      </c>
      <c r="C130" s="22">
        <v>19.899999999999999</v>
      </c>
      <c r="D130" s="21">
        <v>5</v>
      </c>
      <c r="E130" s="19" t="s">
        <v>15</v>
      </c>
      <c r="F130" s="19">
        <v>99.5</v>
      </c>
    </row>
    <row r="131" spans="1:6" x14ac:dyDescent="0.25">
      <c r="A131" s="20" t="s">
        <v>9</v>
      </c>
      <c r="B131" s="21">
        <v>18</v>
      </c>
      <c r="C131" s="22">
        <v>19.899999999999999</v>
      </c>
      <c r="D131" s="21">
        <v>5</v>
      </c>
      <c r="E131" s="19" t="s">
        <v>15</v>
      </c>
      <c r="F131" s="19">
        <v>99.5</v>
      </c>
    </row>
    <row r="132" spans="1:6" x14ac:dyDescent="0.25">
      <c r="A132" s="20" t="s">
        <v>9</v>
      </c>
      <c r="B132" s="21">
        <v>23</v>
      </c>
      <c r="C132" s="22">
        <v>23</v>
      </c>
      <c r="D132" s="21">
        <v>32</v>
      </c>
      <c r="E132" s="19" t="s">
        <v>16</v>
      </c>
      <c r="F132" s="19">
        <v>736</v>
      </c>
    </row>
    <row r="133" spans="1:6" x14ac:dyDescent="0.25">
      <c r="A133" s="20"/>
      <c r="B133" s="21"/>
      <c r="C133" s="22"/>
      <c r="D133" s="21"/>
      <c r="E133" s="19" t="s">
        <v>15</v>
      </c>
      <c r="F133" s="19">
        <v>0</v>
      </c>
    </row>
    <row r="134" spans="1:6" x14ac:dyDescent="0.25">
      <c r="A134" s="20"/>
      <c r="B134" s="21"/>
      <c r="C134" s="22"/>
      <c r="D134" s="21"/>
      <c r="E134" s="19" t="s">
        <v>15</v>
      </c>
      <c r="F134" s="19">
        <v>0</v>
      </c>
    </row>
    <row r="135" spans="1:6" x14ac:dyDescent="0.25">
      <c r="A135" s="7"/>
      <c r="B135" s="8"/>
      <c r="C135" s="9"/>
      <c r="D135" s="8"/>
      <c r="E135" s="6" t="s">
        <v>15</v>
      </c>
      <c r="F135" s="6">
        <v>0</v>
      </c>
    </row>
    <row r="136" spans="1:6" x14ac:dyDescent="0.25">
      <c r="A136" s="7"/>
      <c r="B136" s="8"/>
      <c r="C136" s="9"/>
      <c r="D136" s="8"/>
      <c r="E136" s="6" t="s">
        <v>15</v>
      </c>
      <c r="F136" s="6">
        <v>0</v>
      </c>
    </row>
    <row r="137" spans="1:6" x14ac:dyDescent="0.25">
      <c r="A137" s="7"/>
      <c r="B137" s="8"/>
      <c r="C137" s="9"/>
      <c r="D137" s="8"/>
      <c r="E137" s="6" t="s">
        <v>15</v>
      </c>
      <c r="F137" s="6">
        <v>0</v>
      </c>
    </row>
    <row r="138" spans="1:6" x14ac:dyDescent="0.25">
      <c r="A138" s="7"/>
      <c r="B138" s="8"/>
      <c r="C138" s="9"/>
      <c r="D138" s="8"/>
      <c r="E138" s="6" t="s">
        <v>15</v>
      </c>
      <c r="F138" s="6">
        <v>0</v>
      </c>
    </row>
    <row r="139" spans="1:6" x14ac:dyDescent="0.25">
      <c r="A139" s="7"/>
      <c r="B139" s="8"/>
      <c r="C139" s="9"/>
      <c r="D139" s="8"/>
      <c r="E139" s="6" t="s">
        <v>15</v>
      </c>
      <c r="F139" s="6">
        <v>0</v>
      </c>
    </row>
    <row r="140" spans="1:6" x14ac:dyDescent="0.25">
      <c r="A140" s="7"/>
      <c r="B140" s="8"/>
      <c r="C140" s="9"/>
      <c r="D140" s="8"/>
      <c r="E140" s="6" t="s">
        <v>15</v>
      </c>
      <c r="F140" s="6">
        <v>0</v>
      </c>
    </row>
    <row r="141" spans="1:6" x14ac:dyDescent="0.25">
      <c r="A141" s="7"/>
      <c r="B141" s="8"/>
      <c r="C141" s="9"/>
      <c r="D141" s="8"/>
      <c r="E141" s="6" t="s">
        <v>15</v>
      </c>
      <c r="F141" s="6">
        <v>0</v>
      </c>
    </row>
    <row r="142" spans="1:6" x14ac:dyDescent="0.25">
      <c r="A142" s="7"/>
      <c r="B142" s="8"/>
      <c r="C142" s="9"/>
      <c r="D142" s="8"/>
      <c r="E142" s="6" t="s">
        <v>15</v>
      </c>
      <c r="F142" s="6">
        <v>0</v>
      </c>
    </row>
    <row r="143" spans="1:6" x14ac:dyDescent="0.25">
      <c r="A143" s="7"/>
      <c r="B143" s="8"/>
      <c r="C143" s="9"/>
      <c r="D143" s="8"/>
      <c r="E143" s="6" t="s">
        <v>15</v>
      </c>
      <c r="F143" s="6">
        <v>0</v>
      </c>
    </row>
    <row r="144" spans="1:6" x14ac:dyDescent="0.25">
      <c r="A144" s="7"/>
      <c r="B144" s="8"/>
      <c r="C144" s="9"/>
      <c r="D144" s="8"/>
      <c r="E144" s="6" t="s">
        <v>15</v>
      </c>
      <c r="F144" s="6">
        <v>0</v>
      </c>
    </row>
    <row r="145" spans="1:6" x14ac:dyDescent="0.25">
      <c r="A145" s="7"/>
      <c r="B145" s="8"/>
      <c r="C145" s="9"/>
      <c r="D145" s="8"/>
      <c r="E145" s="6" t="s">
        <v>15</v>
      </c>
      <c r="F145" s="6">
        <v>0</v>
      </c>
    </row>
    <row r="146" spans="1:6" x14ac:dyDescent="0.25">
      <c r="A146" s="7"/>
      <c r="B146" s="8"/>
      <c r="C146" s="9"/>
      <c r="D146" s="8"/>
      <c r="E146" s="6" t="s">
        <v>15</v>
      </c>
      <c r="F146" s="6">
        <v>0</v>
      </c>
    </row>
    <row r="147" spans="1:6" x14ac:dyDescent="0.25">
      <c r="A147" s="7"/>
      <c r="B147" s="8"/>
      <c r="C147" s="9"/>
      <c r="D147" s="8"/>
      <c r="E147" s="6" t="s">
        <v>15</v>
      </c>
      <c r="F147" s="6">
        <v>0</v>
      </c>
    </row>
    <row r="148" spans="1:6" x14ac:dyDescent="0.25">
      <c r="A148" s="7"/>
      <c r="B148" s="8"/>
      <c r="C148" s="9"/>
      <c r="D148" s="8"/>
      <c r="E148" s="6" t="s">
        <v>15</v>
      </c>
      <c r="F148" s="6">
        <v>0</v>
      </c>
    </row>
    <row r="149" spans="1:6" x14ac:dyDescent="0.25">
      <c r="A149" s="7"/>
      <c r="B149" s="8"/>
      <c r="C149" s="9"/>
      <c r="D149" s="8"/>
      <c r="E149" s="6" t="s">
        <v>15</v>
      </c>
      <c r="F149" s="6">
        <v>0</v>
      </c>
    </row>
    <row r="150" spans="1:6" x14ac:dyDescent="0.25">
      <c r="A150" s="7"/>
      <c r="B150" s="8"/>
      <c r="C150" s="9"/>
      <c r="D150" s="8"/>
      <c r="E150" s="6" t="s">
        <v>15</v>
      </c>
      <c r="F150" s="6">
        <v>0</v>
      </c>
    </row>
    <row r="151" spans="1:6" x14ac:dyDescent="0.25">
      <c r="A151" s="7"/>
      <c r="B151" s="8"/>
      <c r="C151" s="9"/>
      <c r="D151" s="8"/>
      <c r="E151" s="6" t="s">
        <v>15</v>
      </c>
      <c r="F151" s="6">
        <v>0</v>
      </c>
    </row>
    <row r="152" spans="1:6" x14ac:dyDescent="0.25">
      <c r="A152" s="7"/>
      <c r="B152" s="8"/>
      <c r="C152" s="9"/>
      <c r="D152" s="8"/>
      <c r="E152" s="6" t="s">
        <v>15</v>
      </c>
      <c r="F152" s="6">
        <v>0</v>
      </c>
    </row>
    <row r="153" spans="1:6" x14ac:dyDescent="0.25">
      <c r="A153" s="7"/>
      <c r="B153" s="8"/>
      <c r="C153" s="9"/>
      <c r="D153" s="8"/>
      <c r="E153" s="6" t="s">
        <v>15</v>
      </c>
      <c r="F153" s="6">
        <v>0</v>
      </c>
    </row>
    <row r="154" spans="1:6" x14ac:dyDescent="0.25">
      <c r="A154" s="7"/>
      <c r="B154" s="8"/>
      <c r="C154" s="9"/>
      <c r="D154" s="8"/>
      <c r="E154" s="6" t="s">
        <v>15</v>
      </c>
      <c r="F154" s="6">
        <v>0</v>
      </c>
    </row>
    <row r="155" spans="1:6" x14ac:dyDescent="0.25">
      <c r="A155" s="7"/>
      <c r="B155" s="8"/>
      <c r="C155" s="9"/>
      <c r="D155" s="8"/>
      <c r="E155" s="6" t="s">
        <v>15</v>
      </c>
      <c r="F155" s="6">
        <v>0</v>
      </c>
    </row>
    <row r="156" spans="1:6" x14ac:dyDescent="0.25">
      <c r="A156" s="7"/>
      <c r="B156" s="8"/>
      <c r="C156" s="9"/>
      <c r="D156" s="8"/>
      <c r="E156" s="6" t="s">
        <v>15</v>
      </c>
      <c r="F156" s="6">
        <v>0</v>
      </c>
    </row>
    <row r="157" spans="1:6" x14ac:dyDescent="0.25">
      <c r="A157" s="7"/>
      <c r="B157" s="8"/>
      <c r="C157" s="9"/>
      <c r="D157" s="8"/>
      <c r="E157" s="6" t="s">
        <v>15</v>
      </c>
      <c r="F157" s="6">
        <v>0</v>
      </c>
    </row>
    <row r="158" spans="1:6" x14ac:dyDescent="0.25">
      <c r="A158" s="7"/>
      <c r="B158" s="8"/>
      <c r="C158" s="9"/>
      <c r="D158" s="8"/>
      <c r="E158" s="6" t="s">
        <v>15</v>
      </c>
      <c r="F158" s="6">
        <v>0</v>
      </c>
    </row>
    <row r="159" spans="1:6" x14ac:dyDescent="0.25">
      <c r="A159" s="7"/>
      <c r="B159" s="8"/>
      <c r="C159" s="9"/>
      <c r="D159" s="8"/>
      <c r="E159" s="6" t="s">
        <v>15</v>
      </c>
      <c r="F159" s="6">
        <v>0</v>
      </c>
    </row>
    <row r="160" spans="1:6" x14ac:dyDescent="0.25">
      <c r="A160" s="7"/>
      <c r="B160" s="8"/>
      <c r="C160" s="9"/>
      <c r="D160" s="8"/>
      <c r="E160" s="6" t="s">
        <v>15</v>
      </c>
      <c r="F160" s="6">
        <v>0</v>
      </c>
    </row>
    <row r="161" spans="1:6" x14ac:dyDescent="0.25">
      <c r="A161" s="7"/>
      <c r="B161" s="8"/>
      <c r="C161" s="9"/>
      <c r="D161" s="8"/>
      <c r="E161" s="6" t="s">
        <v>15</v>
      </c>
      <c r="F161" s="6">
        <v>0</v>
      </c>
    </row>
    <row r="162" spans="1:6" x14ac:dyDescent="0.25">
      <c r="A162" s="7"/>
      <c r="B162" s="8"/>
      <c r="C162" s="9"/>
      <c r="D162" s="8"/>
      <c r="E162" s="6" t="s">
        <v>15</v>
      </c>
      <c r="F162" s="6">
        <v>0</v>
      </c>
    </row>
    <row r="163" spans="1:6" x14ac:dyDescent="0.25">
      <c r="A163" s="7"/>
      <c r="B163" s="8"/>
      <c r="C163" s="9"/>
      <c r="D163" s="8"/>
      <c r="E163" s="6" t="s">
        <v>15</v>
      </c>
      <c r="F163" s="6">
        <v>0</v>
      </c>
    </row>
    <row r="164" spans="1:6" x14ac:dyDescent="0.25">
      <c r="A164" s="7"/>
      <c r="B164" s="8"/>
      <c r="C164" s="9"/>
      <c r="D164" s="8"/>
      <c r="E164" s="6" t="s">
        <v>15</v>
      </c>
      <c r="F164" s="6">
        <v>0</v>
      </c>
    </row>
    <row r="165" spans="1:6" x14ac:dyDescent="0.25">
      <c r="A165" s="7"/>
      <c r="B165" s="8"/>
      <c r="C165" s="9"/>
      <c r="D165" s="8"/>
      <c r="E165" s="6" t="s">
        <v>15</v>
      </c>
      <c r="F165" s="6">
        <v>0</v>
      </c>
    </row>
    <row r="166" spans="1:6" x14ac:dyDescent="0.25">
      <c r="A166" s="7"/>
      <c r="B166" s="8"/>
      <c r="C166" s="9"/>
      <c r="D166" s="8"/>
      <c r="E166" s="6" t="s">
        <v>15</v>
      </c>
      <c r="F166" s="6">
        <v>0</v>
      </c>
    </row>
    <row r="167" spans="1:6" x14ac:dyDescent="0.25">
      <c r="A167" s="7"/>
      <c r="B167" s="8"/>
      <c r="C167" s="9"/>
      <c r="D167" s="8"/>
      <c r="E167" s="6" t="s">
        <v>15</v>
      </c>
      <c r="F167" s="6">
        <v>0</v>
      </c>
    </row>
    <row r="168" spans="1:6" x14ac:dyDescent="0.25">
      <c r="A168" s="7"/>
      <c r="B168" s="8"/>
      <c r="C168" s="9"/>
      <c r="D168" s="8"/>
      <c r="E168" s="6" t="s">
        <v>15</v>
      </c>
      <c r="F168" s="6">
        <v>0</v>
      </c>
    </row>
    <row r="169" spans="1:6" x14ac:dyDescent="0.25">
      <c r="A169" s="7"/>
      <c r="B169" s="8"/>
      <c r="C169" s="9"/>
      <c r="D169" s="8"/>
      <c r="E169" s="6" t="s">
        <v>15</v>
      </c>
      <c r="F169" s="6">
        <v>0</v>
      </c>
    </row>
    <row r="170" spans="1:6" x14ac:dyDescent="0.25">
      <c r="A170" s="7"/>
      <c r="B170" s="8"/>
      <c r="C170" s="9"/>
      <c r="D170" s="8"/>
      <c r="E170" s="6" t="s">
        <v>15</v>
      </c>
      <c r="F170" s="6">
        <v>0</v>
      </c>
    </row>
    <row r="171" spans="1:6" x14ac:dyDescent="0.25">
      <c r="A171" s="7"/>
      <c r="B171" s="8"/>
      <c r="C171" s="9"/>
      <c r="D171" s="8"/>
      <c r="E171" s="6" t="s">
        <v>15</v>
      </c>
      <c r="F171" s="6">
        <v>0</v>
      </c>
    </row>
    <row r="172" spans="1:6" x14ac:dyDescent="0.25">
      <c r="A172" s="7"/>
      <c r="B172" s="8"/>
      <c r="C172" s="9"/>
      <c r="D172" s="8"/>
      <c r="E172" s="6" t="s">
        <v>15</v>
      </c>
      <c r="F172" s="6">
        <v>0</v>
      </c>
    </row>
    <row r="173" spans="1:6" x14ac:dyDescent="0.25">
      <c r="A173" s="7"/>
      <c r="B173" s="8"/>
      <c r="C173" s="9"/>
      <c r="D173" s="8"/>
      <c r="E173" s="6" t="s">
        <v>15</v>
      </c>
      <c r="F173" s="6">
        <v>0</v>
      </c>
    </row>
    <row r="174" spans="1:6" x14ac:dyDescent="0.25">
      <c r="A174" s="7"/>
      <c r="B174" s="8"/>
      <c r="C174" s="9"/>
      <c r="D174" s="8"/>
      <c r="E174" s="6" t="s">
        <v>15</v>
      </c>
      <c r="F174" s="6">
        <v>0</v>
      </c>
    </row>
    <row r="175" spans="1:6" x14ac:dyDescent="0.25">
      <c r="A175" s="7"/>
      <c r="B175" s="8"/>
      <c r="C175" s="9"/>
      <c r="D175" s="8"/>
      <c r="E175" s="6" t="s">
        <v>15</v>
      </c>
      <c r="F175" s="6">
        <v>0</v>
      </c>
    </row>
    <row r="176" spans="1:6" x14ac:dyDescent="0.25">
      <c r="A176" s="7"/>
      <c r="B176" s="8"/>
      <c r="C176" s="9"/>
      <c r="D176" s="8"/>
      <c r="E176" s="6" t="s">
        <v>15</v>
      </c>
      <c r="F176" s="6">
        <v>0</v>
      </c>
    </row>
    <row r="177" spans="1:6" x14ac:dyDescent="0.25">
      <c r="A177" s="7"/>
      <c r="B177" s="8"/>
      <c r="C177" s="9"/>
      <c r="D177" s="8"/>
      <c r="E177" s="6" t="s">
        <v>15</v>
      </c>
      <c r="F177" s="6">
        <v>0</v>
      </c>
    </row>
    <row r="178" spans="1:6" x14ac:dyDescent="0.25">
      <c r="A178" s="7"/>
      <c r="B178" s="8"/>
      <c r="C178" s="9"/>
      <c r="D178" s="8"/>
      <c r="E178" s="6" t="s">
        <v>15</v>
      </c>
      <c r="F178" s="6">
        <v>0</v>
      </c>
    </row>
    <row r="179" spans="1:6" x14ac:dyDescent="0.25">
      <c r="A179" s="7"/>
      <c r="B179" s="8"/>
      <c r="C179" s="9"/>
      <c r="D179" s="8"/>
      <c r="E179" s="6" t="s">
        <v>15</v>
      </c>
      <c r="F179" s="6">
        <v>0</v>
      </c>
    </row>
    <row r="180" spans="1:6" x14ac:dyDescent="0.25">
      <c r="A180" s="7"/>
      <c r="B180" s="8"/>
      <c r="C180" s="9"/>
      <c r="D180" s="8"/>
      <c r="E180" s="6" t="s">
        <v>15</v>
      </c>
      <c r="F180" s="6">
        <v>0</v>
      </c>
    </row>
    <row r="181" spans="1:6" x14ac:dyDescent="0.25">
      <c r="A181" s="7"/>
      <c r="B181" s="8"/>
      <c r="C181" s="9"/>
      <c r="D181" s="8"/>
      <c r="E181" s="6" t="s">
        <v>15</v>
      </c>
      <c r="F181" s="6">
        <v>0</v>
      </c>
    </row>
    <row r="182" spans="1:6" x14ac:dyDescent="0.25">
      <c r="A182" s="7"/>
      <c r="B182" s="8"/>
      <c r="C182" s="9"/>
      <c r="D182" s="8"/>
      <c r="E182" s="6" t="s">
        <v>15</v>
      </c>
      <c r="F182" s="6">
        <v>0</v>
      </c>
    </row>
    <row r="183" spans="1:6" x14ac:dyDescent="0.25">
      <c r="A183" s="7"/>
      <c r="B183" s="8"/>
      <c r="C183" s="9"/>
      <c r="D183" s="8"/>
      <c r="E183" s="6" t="s">
        <v>15</v>
      </c>
      <c r="F183" s="6">
        <v>0</v>
      </c>
    </row>
    <row r="184" spans="1:6" x14ac:dyDescent="0.25">
      <c r="A184" s="7"/>
      <c r="B184" s="8"/>
      <c r="C184" s="9"/>
      <c r="D184" s="8"/>
      <c r="E184" s="6" t="s">
        <v>15</v>
      </c>
      <c r="F184" s="6">
        <v>0</v>
      </c>
    </row>
    <row r="185" spans="1:6" x14ac:dyDescent="0.25">
      <c r="A185" s="7"/>
      <c r="B185" s="8"/>
      <c r="C185" s="9"/>
      <c r="D185" s="8"/>
      <c r="E185" s="6" t="s">
        <v>15</v>
      </c>
      <c r="F185" s="6">
        <v>0</v>
      </c>
    </row>
    <row r="186" spans="1:6" x14ac:dyDescent="0.25">
      <c r="A186" s="7"/>
      <c r="B186" s="8"/>
      <c r="C186" s="9"/>
      <c r="D186" s="8"/>
      <c r="E186" s="6" t="s">
        <v>15</v>
      </c>
      <c r="F186" s="6">
        <v>0</v>
      </c>
    </row>
    <row r="187" spans="1:6" x14ac:dyDescent="0.25">
      <c r="A187" s="7"/>
      <c r="B187" s="8"/>
      <c r="C187" s="9"/>
      <c r="D187" s="8"/>
      <c r="E187" s="6" t="s">
        <v>15</v>
      </c>
      <c r="F187" s="6">
        <v>0</v>
      </c>
    </row>
    <row r="188" spans="1:6" x14ac:dyDescent="0.25">
      <c r="A188" s="7"/>
      <c r="B188" s="8"/>
      <c r="C188" s="9"/>
      <c r="D188" s="8"/>
      <c r="E188" s="6" t="s">
        <v>15</v>
      </c>
      <c r="F188" s="6">
        <v>0</v>
      </c>
    </row>
    <row r="189" spans="1:6" x14ac:dyDescent="0.25">
      <c r="A189" s="7"/>
      <c r="B189" s="8"/>
      <c r="C189" s="9"/>
      <c r="D189" s="8"/>
      <c r="E189" s="6" t="s">
        <v>15</v>
      </c>
      <c r="F189" s="6">
        <v>0</v>
      </c>
    </row>
    <row r="190" spans="1:6" x14ac:dyDescent="0.25">
      <c r="A190" s="7"/>
      <c r="B190" s="8"/>
      <c r="C190" s="9"/>
      <c r="D190" s="8"/>
      <c r="E190" s="6" t="s">
        <v>15</v>
      </c>
      <c r="F190" s="6">
        <v>0</v>
      </c>
    </row>
    <row r="191" spans="1:6" x14ac:dyDescent="0.25">
      <c r="A191" s="7"/>
      <c r="B191" s="8"/>
      <c r="C191" s="9"/>
      <c r="D191" s="8"/>
      <c r="E191" s="6" t="s">
        <v>15</v>
      </c>
      <c r="F191" s="6">
        <v>0</v>
      </c>
    </row>
    <row r="192" spans="1:6" x14ac:dyDescent="0.25">
      <c r="A192" s="7"/>
      <c r="B192" s="8"/>
      <c r="C192" s="9"/>
      <c r="D192" s="8"/>
      <c r="E192" s="6" t="s">
        <v>15</v>
      </c>
      <c r="F192" s="6">
        <v>0</v>
      </c>
    </row>
    <row r="193" spans="1:6" x14ac:dyDescent="0.25">
      <c r="A193" s="7"/>
      <c r="B193" s="8"/>
      <c r="C193" s="9"/>
      <c r="D193" s="8"/>
      <c r="E193" s="6" t="s">
        <v>15</v>
      </c>
      <c r="F193" s="6">
        <v>0</v>
      </c>
    </row>
    <row r="194" spans="1:6" x14ac:dyDescent="0.25">
      <c r="A194" s="7"/>
      <c r="B194" s="8"/>
      <c r="C194" s="9"/>
      <c r="D194" s="8"/>
      <c r="E194" s="6" t="s">
        <v>15</v>
      </c>
      <c r="F194" s="6">
        <v>0</v>
      </c>
    </row>
    <row r="195" spans="1:6" x14ac:dyDescent="0.25">
      <c r="A195" s="7"/>
      <c r="B195" s="8"/>
      <c r="C195" s="9"/>
      <c r="D195" s="8"/>
      <c r="E195" s="6" t="s">
        <v>15</v>
      </c>
      <c r="F195" s="6">
        <v>0</v>
      </c>
    </row>
    <row r="196" spans="1:6" x14ac:dyDescent="0.25">
      <c r="A196" s="7"/>
      <c r="B196" s="8"/>
      <c r="C196" s="9"/>
      <c r="D196" s="8"/>
      <c r="E196" s="6" t="s">
        <v>15</v>
      </c>
      <c r="F196" s="6">
        <v>0</v>
      </c>
    </row>
    <row r="197" spans="1:6" x14ac:dyDescent="0.25">
      <c r="A197" s="7"/>
      <c r="B197" s="8"/>
      <c r="C197" s="9"/>
      <c r="D197" s="8"/>
      <c r="E197" s="6" t="s">
        <v>15</v>
      </c>
      <c r="F197" s="6">
        <v>0</v>
      </c>
    </row>
    <row r="198" spans="1:6" x14ac:dyDescent="0.25">
      <c r="A198" s="7"/>
      <c r="B198" s="8"/>
      <c r="C198" s="9"/>
      <c r="D198" s="8"/>
      <c r="E198" s="6" t="s">
        <v>15</v>
      </c>
      <c r="F198" s="6">
        <v>0</v>
      </c>
    </row>
    <row r="199" spans="1:6" x14ac:dyDescent="0.25">
      <c r="A199" s="7"/>
      <c r="B199" s="8"/>
      <c r="C199" s="9"/>
      <c r="D199" s="8"/>
      <c r="E199" s="6" t="s">
        <v>15</v>
      </c>
      <c r="F199" s="6">
        <v>0</v>
      </c>
    </row>
    <row r="200" spans="1:6" x14ac:dyDescent="0.25">
      <c r="A200" s="7"/>
      <c r="B200" s="8"/>
      <c r="C200" s="9"/>
      <c r="D200" s="8"/>
      <c r="E200" s="6" t="s">
        <v>15</v>
      </c>
      <c r="F200" s="6">
        <v>0</v>
      </c>
    </row>
    <row r="201" spans="1:6" x14ac:dyDescent="0.25">
      <c r="A201" s="7"/>
      <c r="B201" s="8"/>
      <c r="C201" s="9"/>
      <c r="D201" s="8"/>
      <c r="E201" s="6" t="s">
        <v>15</v>
      </c>
      <c r="F201" s="6">
        <v>0</v>
      </c>
    </row>
    <row r="202" spans="1:6" x14ac:dyDescent="0.25">
      <c r="A202" s="7"/>
      <c r="B202" s="8"/>
      <c r="C202" s="9"/>
      <c r="D202" s="8"/>
      <c r="E202" s="6" t="s">
        <v>15</v>
      </c>
      <c r="F202" s="6">
        <v>0</v>
      </c>
    </row>
    <row r="203" spans="1:6" x14ac:dyDescent="0.25">
      <c r="A203" s="7"/>
      <c r="B203" s="8"/>
      <c r="C203" s="9"/>
      <c r="D203" s="8"/>
      <c r="E203" s="6" t="s">
        <v>15</v>
      </c>
      <c r="F203" s="6">
        <v>0</v>
      </c>
    </row>
    <row r="204" spans="1:6" x14ac:dyDescent="0.25">
      <c r="A204" s="7"/>
      <c r="B204" s="8"/>
      <c r="C204" s="9"/>
      <c r="D204" s="8"/>
      <c r="E204" s="6" t="s">
        <v>15</v>
      </c>
      <c r="F204" s="6">
        <v>0</v>
      </c>
    </row>
    <row r="205" spans="1:6" x14ac:dyDescent="0.25">
      <c r="A205" s="7"/>
      <c r="B205" s="8"/>
      <c r="C205" s="9"/>
      <c r="D205" s="8"/>
      <c r="E205" s="6" t="s">
        <v>15</v>
      </c>
      <c r="F205" s="6">
        <v>0</v>
      </c>
    </row>
    <row r="206" spans="1:6" x14ac:dyDescent="0.25">
      <c r="A206" s="7"/>
      <c r="B206" s="8"/>
      <c r="C206" s="9"/>
      <c r="D206" s="8"/>
      <c r="E206" s="6"/>
      <c r="F206" s="6"/>
    </row>
    <row r="207" spans="1:6" x14ac:dyDescent="0.25">
      <c r="A207" s="7"/>
      <c r="B207" s="8"/>
      <c r="C207" s="9"/>
      <c r="D207" s="8"/>
      <c r="E207" s="6"/>
      <c r="F207" s="6"/>
    </row>
    <row r="208" spans="1:6" x14ac:dyDescent="0.25">
      <c r="A208" s="7"/>
      <c r="B208" s="8"/>
      <c r="C208" s="9"/>
      <c r="D208" s="8"/>
      <c r="E208" s="6"/>
      <c r="F208" s="6"/>
    </row>
    <row r="209" spans="1:6" x14ac:dyDescent="0.25">
      <c r="A209" s="7"/>
      <c r="B209" s="8"/>
      <c r="C209" s="9"/>
      <c r="D209" s="8"/>
      <c r="E209" s="6"/>
      <c r="F209" s="6"/>
    </row>
    <row r="210" spans="1:6" x14ac:dyDescent="0.25">
      <c r="A210" s="7"/>
      <c r="B210" s="8"/>
      <c r="C210" s="9"/>
      <c r="D210" s="8"/>
      <c r="E210" s="6"/>
      <c r="F210" s="6"/>
    </row>
    <row r="211" spans="1:6" x14ac:dyDescent="0.25">
      <c r="A211" s="7"/>
      <c r="B211" s="8"/>
      <c r="C211" s="9"/>
      <c r="D211" s="8"/>
      <c r="E211" s="6"/>
      <c r="F211" s="6"/>
    </row>
    <row r="212" spans="1:6" x14ac:dyDescent="0.25">
      <c r="A212" s="7"/>
      <c r="B212" s="8"/>
      <c r="C212" s="9"/>
      <c r="D212" s="8"/>
      <c r="E212" s="6"/>
      <c r="F212" s="6"/>
    </row>
    <row r="213" spans="1:6" x14ac:dyDescent="0.25">
      <c r="A213" s="7"/>
      <c r="B213" s="8"/>
      <c r="C213" s="9"/>
      <c r="D213" s="8"/>
      <c r="E213" s="6"/>
      <c r="F213" s="6"/>
    </row>
    <row r="214" spans="1:6" x14ac:dyDescent="0.25">
      <c r="A214" s="7"/>
      <c r="B214" s="8"/>
      <c r="C214" s="9"/>
      <c r="D214" s="8"/>
      <c r="E214" s="6"/>
      <c r="F214" s="6"/>
    </row>
    <row r="215" spans="1:6" x14ac:dyDescent="0.25">
      <c r="A215" s="7"/>
      <c r="B215" s="8"/>
      <c r="C215" s="9"/>
      <c r="D215" s="8"/>
      <c r="E215" s="6"/>
      <c r="F215" s="6"/>
    </row>
    <row r="216" spans="1:6" x14ac:dyDescent="0.25">
      <c r="A216" s="7"/>
      <c r="B216" s="8"/>
      <c r="C216" s="9"/>
      <c r="D216" s="8"/>
      <c r="E216" s="6"/>
      <c r="F216" s="6"/>
    </row>
    <row r="217" spans="1:6" x14ac:dyDescent="0.25">
      <c r="A217" s="7"/>
      <c r="B217" s="8"/>
      <c r="C217" s="9"/>
      <c r="D217" s="8"/>
      <c r="E217" s="6"/>
      <c r="F217" s="6"/>
    </row>
    <row r="218" spans="1:6" x14ac:dyDescent="0.25">
      <c r="A218" s="7"/>
      <c r="B218" s="8"/>
      <c r="C218" s="9"/>
      <c r="D218" s="8"/>
      <c r="E218" s="6"/>
      <c r="F218" s="6"/>
    </row>
    <row r="219" spans="1:6" x14ac:dyDescent="0.25">
      <c r="A219" s="7"/>
      <c r="B219" s="8"/>
      <c r="C219" s="9"/>
      <c r="D219" s="8"/>
      <c r="E219" s="6"/>
      <c r="F219" s="6"/>
    </row>
    <row r="220" spans="1:6" x14ac:dyDescent="0.25">
      <c r="A220" s="7"/>
      <c r="B220" s="8"/>
      <c r="C220" s="9"/>
      <c r="D220" s="8"/>
      <c r="E220" s="6"/>
      <c r="F220" s="6"/>
    </row>
    <row r="221" spans="1:6" x14ac:dyDescent="0.25">
      <c r="A221" s="7"/>
      <c r="B221" s="8"/>
      <c r="C221" s="9"/>
      <c r="D221" s="8"/>
      <c r="E221" s="6"/>
      <c r="F221" s="6"/>
    </row>
    <row r="222" spans="1:6" x14ac:dyDescent="0.25">
      <c r="A222" s="7"/>
      <c r="B222" s="8"/>
      <c r="C222" s="9"/>
      <c r="D222" s="8"/>
      <c r="E222" s="6"/>
      <c r="F222" s="6"/>
    </row>
    <row r="223" spans="1:6" x14ac:dyDescent="0.25">
      <c r="A223" s="7"/>
      <c r="B223" s="8"/>
      <c r="C223" s="9"/>
      <c r="D223" s="8"/>
      <c r="E223" s="6"/>
      <c r="F223" s="6"/>
    </row>
    <row r="224" spans="1:6" x14ac:dyDescent="0.25">
      <c r="A224" s="7"/>
      <c r="B224" s="8"/>
      <c r="C224" s="9"/>
      <c r="D224" s="8"/>
      <c r="E224" s="6"/>
      <c r="F224" s="6"/>
    </row>
    <row r="225" spans="1:6" x14ac:dyDescent="0.25">
      <c r="A225" s="7"/>
      <c r="B225" s="8"/>
      <c r="C225" s="9"/>
      <c r="D225" s="8"/>
      <c r="E225" s="6"/>
      <c r="F225" s="6"/>
    </row>
    <row r="226" spans="1:6" x14ac:dyDescent="0.25">
      <c r="A226" s="7"/>
      <c r="B226" s="8"/>
      <c r="C226" s="9"/>
      <c r="D226" s="8"/>
      <c r="E226" s="6"/>
      <c r="F226" s="6"/>
    </row>
    <row r="227" spans="1:6" x14ac:dyDescent="0.25">
      <c r="A227" s="7"/>
      <c r="B227" s="8"/>
      <c r="C227" s="9"/>
      <c r="D227" s="8"/>
      <c r="E227" s="6"/>
      <c r="F227" s="6"/>
    </row>
    <row r="228" spans="1:6" x14ac:dyDescent="0.25">
      <c r="A228" s="7"/>
      <c r="B228" s="8"/>
      <c r="C228" s="9"/>
      <c r="D228" s="8"/>
      <c r="E228" s="6"/>
      <c r="F228" s="6"/>
    </row>
    <row r="229" spans="1:6" x14ac:dyDescent="0.25">
      <c r="A229" s="7"/>
      <c r="B229" s="8"/>
      <c r="C229" s="9"/>
      <c r="D229" s="8"/>
      <c r="E229" s="6"/>
      <c r="F229" s="6"/>
    </row>
    <row r="230" spans="1:6" x14ac:dyDescent="0.25">
      <c r="A230" s="7"/>
      <c r="B230" s="8"/>
      <c r="C230" s="9"/>
      <c r="D230" s="8"/>
      <c r="E230" s="6"/>
      <c r="F230" s="6"/>
    </row>
    <row r="231" spans="1:6" x14ac:dyDescent="0.25">
      <c r="A231" s="7"/>
      <c r="B231" s="8"/>
      <c r="C231" s="9"/>
      <c r="D231" s="8"/>
      <c r="E231" s="6"/>
      <c r="F231" s="6"/>
    </row>
    <row r="232" spans="1:6" x14ac:dyDescent="0.25">
      <c r="A232" s="7"/>
      <c r="B232" s="8"/>
      <c r="C232" s="9"/>
      <c r="D232" s="8"/>
      <c r="E232" s="6"/>
      <c r="F232" s="6"/>
    </row>
    <row r="233" spans="1:6" x14ac:dyDescent="0.25">
      <c r="A233" s="7"/>
      <c r="B233" s="8"/>
      <c r="C233" s="9"/>
      <c r="D233" s="8"/>
      <c r="E233" s="6"/>
      <c r="F233" s="6"/>
    </row>
    <row r="234" spans="1:6" x14ac:dyDescent="0.25">
      <c r="A234" s="7"/>
      <c r="B234" s="8"/>
      <c r="C234" s="9"/>
      <c r="D234" s="8"/>
      <c r="E234" s="6"/>
      <c r="F234" s="6"/>
    </row>
    <row r="235" spans="1:6" x14ac:dyDescent="0.25">
      <c r="A235" s="7"/>
      <c r="B235" s="8"/>
      <c r="C235" s="9"/>
      <c r="D235" s="8"/>
      <c r="E235" s="6"/>
      <c r="F235" s="6"/>
    </row>
    <row r="236" spans="1:6" x14ac:dyDescent="0.25">
      <c r="A236" s="7"/>
      <c r="B236" s="8"/>
      <c r="C236" s="9"/>
      <c r="D236" s="8"/>
      <c r="E236" s="6"/>
      <c r="F236" s="6"/>
    </row>
    <row r="237" spans="1:6" x14ac:dyDescent="0.25">
      <c r="A237" s="7"/>
      <c r="B237" s="8"/>
      <c r="C237" s="9"/>
      <c r="D237" s="8"/>
      <c r="E237" s="6"/>
      <c r="F237" s="6"/>
    </row>
    <row r="238" spans="1:6" x14ac:dyDescent="0.25">
      <c r="A238" s="7"/>
      <c r="B238" s="8"/>
      <c r="C238" s="9"/>
      <c r="D238" s="8"/>
      <c r="E238" s="6"/>
      <c r="F238" s="6"/>
    </row>
    <row r="239" spans="1:6" x14ac:dyDescent="0.25">
      <c r="A239" s="7"/>
      <c r="B239" s="8"/>
      <c r="C239" s="9"/>
      <c r="D239" s="8"/>
      <c r="E239" s="6"/>
      <c r="F239" s="6"/>
    </row>
    <row r="240" spans="1:6" x14ac:dyDescent="0.25">
      <c r="A240" s="7"/>
      <c r="B240" s="8"/>
      <c r="C240" s="9"/>
      <c r="D240" s="8"/>
      <c r="E240" s="6"/>
      <c r="F240" s="6"/>
    </row>
    <row r="241" spans="1:6" x14ac:dyDescent="0.25">
      <c r="A241" s="7"/>
      <c r="B241" s="8"/>
      <c r="C241" s="9"/>
      <c r="D241" s="8"/>
      <c r="E241" s="6"/>
      <c r="F241" s="6"/>
    </row>
    <row r="242" spans="1:6" x14ac:dyDescent="0.25">
      <c r="A242" s="7"/>
      <c r="B242" s="8"/>
      <c r="C242" s="9"/>
      <c r="D242" s="8"/>
      <c r="E242" s="6"/>
      <c r="F242" s="6"/>
    </row>
    <row r="243" spans="1:6" x14ac:dyDescent="0.25">
      <c r="A243" s="7"/>
      <c r="B243" s="8"/>
      <c r="C243" s="9"/>
      <c r="D243" s="8"/>
      <c r="E243" s="6"/>
      <c r="F243" s="6"/>
    </row>
    <row r="244" spans="1:6" x14ac:dyDescent="0.25">
      <c r="A244" s="7"/>
      <c r="B244" s="8"/>
      <c r="C244" s="9"/>
      <c r="D244" s="8"/>
      <c r="E244" s="6"/>
      <c r="F244" s="6"/>
    </row>
    <row r="245" spans="1:6" x14ac:dyDescent="0.25">
      <c r="A245" s="7"/>
      <c r="B245" s="8"/>
      <c r="C245" s="9"/>
      <c r="D245" s="8"/>
      <c r="E245" s="6"/>
      <c r="F245" s="6"/>
    </row>
    <row r="246" spans="1:6" x14ac:dyDescent="0.25">
      <c r="A246" s="7"/>
      <c r="B246" s="8"/>
      <c r="C246" s="9"/>
      <c r="D246" s="8"/>
      <c r="E246" s="6"/>
      <c r="F246" s="6"/>
    </row>
    <row r="247" spans="1:6" x14ac:dyDescent="0.25">
      <c r="A247" s="7"/>
      <c r="B247" s="8"/>
      <c r="C247" s="9"/>
      <c r="D247" s="8"/>
      <c r="E247" s="6"/>
      <c r="F247" s="6"/>
    </row>
    <row r="248" spans="1:6" x14ac:dyDescent="0.25">
      <c r="A248" s="7"/>
      <c r="B248" s="8"/>
      <c r="C248" s="9"/>
      <c r="D248" s="8"/>
      <c r="E248" s="6"/>
      <c r="F248" s="6"/>
    </row>
    <row r="249" spans="1:6" x14ac:dyDescent="0.25">
      <c r="A249" s="7"/>
      <c r="B249" s="8"/>
      <c r="C249" s="9"/>
      <c r="D249" s="8"/>
      <c r="E249" s="6"/>
      <c r="F249" s="6"/>
    </row>
    <row r="250" spans="1:6" x14ac:dyDescent="0.25">
      <c r="A250" s="7"/>
      <c r="B250" s="8"/>
      <c r="C250" s="9"/>
      <c r="D250" s="8"/>
      <c r="E250" s="6"/>
      <c r="F250" s="6"/>
    </row>
    <row r="251" spans="1:6" x14ac:dyDescent="0.25">
      <c r="A251" s="7"/>
      <c r="B251" s="8"/>
      <c r="C251" s="9"/>
      <c r="D251" s="8"/>
      <c r="E251" s="6"/>
      <c r="F251" s="6"/>
    </row>
    <row r="252" spans="1:6" x14ac:dyDescent="0.25">
      <c r="A252" s="7"/>
      <c r="B252" s="8"/>
      <c r="C252" s="9"/>
      <c r="D252" s="8"/>
      <c r="E252" s="6"/>
      <c r="F252" s="6"/>
    </row>
    <row r="253" spans="1:6" x14ac:dyDescent="0.25">
      <c r="A253" s="7"/>
      <c r="B253" s="8"/>
      <c r="C253" s="9"/>
      <c r="D253" s="8"/>
      <c r="E253" s="6"/>
      <c r="F253" s="6"/>
    </row>
    <row r="254" spans="1:6" x14ac:dyDescent="0.25">
      <c r="A254" s="7"/>
      <c r="B254" s="8"/>
      <c r="C254" s="9"/>
      <c r="D254" s="8"/>
      <c r="E254" s="6"/>
      <c r="F254" s="6"/>
    </row>
    <row r="255" spans="1:6" x14ac:dyDescent="0.25">
      <c r="A255" s="7"/>
      <c r="B255" s="8"/>
      <c r="C255" s="9"/>
      <c r="D255" s="8"/>
      <c r="E255" s="6"/>
      <c r="F255" s="6"/>
    </row>
    <row r="256" spans="1:6" x14ac:dyDescent="0.25">
      <c r="A256" s="7"/>
      <c r="B256" s="8"/>
      <c r="C256" s="9"/>
      <c r="D256" s="8"/>
      <c r="E256" s="6"/>
      <c r="F256" s="6"/>
    </row>
    <row r="257" spans="1:6" x14ac:dyDescent="0.25">
      <c r="A257" s="7"/>
      <c r="B257" s="8"/>
      <c r="C257" s="9"/>
      <c r="D257" s="8"/>
      <c r="E257" s="6"/>
      <c r="F257" s="6"/>
    </row>
    <row r="258" spans="1:6" x14ac:dyDescent="0.25">
      <c r="A258" s="7"/>
      <c r="B258" s="8"/>
      <c r="C258" s="9"/>
      <c r="D258" s="8"/>
      <c r="E258" s="6"/>
      <c r="F258" s="6"/>
    </row>
    <row r="259" spans="1:6" x14ac:dyDescent="0.25">
      <c r="A259" s="7"/>
      <c r="B259" s="8"/>
      <c r="C259" s="9"/>
      <c r="D259" s="8"/>
      <c r="E259" s="6"/>
      <c r="F259" s="6"/>
    </row>
    <row r="260" spans="1:6" x14ac:dyDescent="0.25">
      <c r="A260" s="7"/>
      <c r="B260" s="8"/>
      <c r="C260" s="9"/>
      <c r="D260" s="8"/>
      <c r="E260" s="6"/>
      <c r="F260" s="6"/>
    </row>
    <row r="261" spans="1:6" x14ac:dyDescent="0.25">
      <c r="A261" s="7"/>
      <c r="B261" s="8"/>
      <c r="C261" s="9"/>
      <c r="D261" s="8"/>
      <c r="E261" s="6"/>
      <c r="F261" s="6"/>
    </row>
    <row r="262" spans="1:6" x14ac:dyDescent="0.25">
      <c r="A262" s="7"/>
      <c r="B262" s="8"/>
      <c r="C262" s="9"/>
      <c r="D262" s="8"/>
      <c r="E262" s="6"/>
      <c r="F262" s="6"/>
    </row>
    <row r="263" spans="1:6" x14ac:dyDescent="0.25">
      <c r="A263" s="7"/>
      <c r="B263" s="8"/>
      <c r="C263" s="9"/>
      <c r="D263" s="8"/>
      <c r="E263" s="6"/>
      <c r="F263" s="6"/>
    </row>
    <row r="264" spans="1:6" x14ac:dyDescent="0.25">
      <c r="A264" s="7"/>
      <c r="B264" s="8"/>
      <c r="C264" s="9"/>
      <c r="D264" s="8"/>
      <c r="E264" s="6"/>
      <c r="F264" s="6"/>
    </row>
    <row r="265" spans="1:6" x14ac:dyDescent="0.25">
      <c r="A265" s="7"/>
      <c r="B265" s="8"/>
      <c r="C265" s="9"/>
      <c r="D265" s="8"/>
      <c r="E265" s="6"/>
      <c r="F265" s="6"/>
    </row>
    <row r="266" spans="1:6" x14ac:dyDescent="0.25">
      <c r="A266" s="7"/>
      <c r="B266" s="8"/>
      <c r="C266" s="9"/>
      <c r="D266" s="8"/>
      <c r="E266" s="6"/>
      <c r="F266" s="6"/>
    </row>
    <row r="267" spans="1:6" x14ac:dyDescent="0.25">
      <c r="A267" s="7"/>
      <c r="B267" s="8"/>
      <c r="C267" s="9"/>
      <c r="D267" s="8"/>
      <c r="E267" s="6"/>
      <c r="F267" s="6"/>
    </row>
    <row r="268" spans="1:6" x14ac:dyDescent="0.25">
      <c r="A268" s="7"/>
      <c r="B268" s="8"/>
      <c r="C268" s="9"/>
      <c r="D268" s="8"/>
      <c r="E268" s="6"/>
      <c r="F268" s="6"/>
    </row>
    <row r="269" spans="1:6" x14ac:dyDescent="0.25">
      <c r="A269" s="7"/>
      <c r="B269" s="8"/>
      <c r="C269" s="9"/>
      <c r="D269" s="8"/>
      <c r="E269" s="6"/>
      <c r="F269" s="6"/>
    </row>
    <row r="270" spans="1:6" x14ac:dyDescent="0.25">
      <c r="A270" s="7"/>
      <c r="B270" s="8"/>
      <c r="C270" s="9"/>
      <c r="D270" s="8"/>
      <c r="E270" s="6"/>
      <c r="F270" s="6"/>
    </row>
    <row r="271" spans="1:6" x14ac:dyDescent="0.25">
      <c r="A271" s="7"/>
      <c r="B271" s="8"/>
      <c r="C271" s="9"/>
      <c r="D271" s="8"/>
      <c r="E271" s="6"/>
      <c r="F271" s="6"/>
    </row>
    <row r="272" spans="1:6" x14ac:dyDescent="0.25">
      <c r="A272" s="7"/>
      <c r="B272" s="8"/>
      <c r="C272" s="9"/>
      <c r="D272" s="8"/>
      <c r="E272" s="6"/>
      <c r="F272" s="6"/>
    </row>
    <row r="273" spans="1:6" x14ac:dyDescent="0.25">
      <c r="A273" s="7"/>
      <c r="B273" s="8"/>
      <c r="C273" s="9"/>
      <c r="D273" s="8"/>
      <c r="E273" s="6"/>
      <c r="F273" s="6"/>
    </row>
    <row r="274" spans="1:6" x14ac:dyDescent="0.25">
      <c r="A274" s="7"/>
      <c r="B274" s="8"/>
      <c r="C274" s="9"/>
      <c r="D274" s="8"/>
      <c r="E274" s="6"/>
      <c r="F274" s="6"/>
    </row>
    <row r="275" spans="1:6" x14ac:dyDescent="0.25">
      <c r="A275" s="7"/>
      <c r="B275" s="8"/>
      <c r="C275" s="9"/>
      <c r="D275" s="8"/>
      <c r="E275" s="6"/>
      <c r="F275" s="6"/>
    </row>
    <row r="276" spans="1:6" x14ac:dyDescent="0.25">
      <c r="A276" s="7"/>
      <c r="B276" s="8"/>
      <c r="C276" s="9"/>
      <c r="D276" s="8"/>
      <c r="E276" s="6"/>
      <c r="F276" s="6"/>
    </row>
    <row r="277" spans="1:6" x14ac:dyDescent="0.25">
      <c r="A277" s="7"/>
      <c r="B277" s="8"/>
      <c r="C277" s="9"/>
      <c r="D277" s="8"/>
      <c r="E277" s="6"/>
      <c r="F277" s="6"/>
    </row>
    <row r="278" spans="1:6" x14ac:dyDescent="0.25">
      <c r="A278" s="7"/>
      <c r="B278" s="8"/>
      <c r="C278" s="9"/>
      <c r="D278" s="8"/>
      <c r="E278" s="6"/>
      <c r="F278" s="6"/>
    </row>
    <row r="279" spans="1:6" x14ac:dyDescent="0.25">
      <c r="A279" s="7"/>
      <c r="B279" s="8"/>
      <c r="C279" s="9"/>
      <c r="D279" s="8"/>
      <c r="E279" s="6"/>
      <c r="F279" s="6"/>
    </row>
    <row r="280" spans="1:6" x14ac:dyDescent="0.25">
      <c r="A280" s="7"/>
      <c r="B280" s="8"/>
      <c r="C280" s="9"/>
      <c r="D280" s="8"/>
      <c r="E280" s="6"/>
      <c r="F280" s="6"/>
    </row>
    <row r="281" spans="1:6" x14ac:dyDescent="0.25">
      <c r="A281" s="7"/>
      <c r="B281" s="8"/>
      <c r="C281" s="9"/>
      <c r="D281" s="8"/>
      <c r="E281" s="6"/>
      <c r="F281" s="6"/>
    </row>
    <row r="282" spans="1:6" x14ac:dyDescent="0.25">
      <c r="A282" s="7"/>
      <c r="B282" s="8"/>
      <c r="C282" s="9"/>
      <c r="D282" s="8"/>
      <c r="E282" s="6"/>
      <c r="F282" s="6"/>
    </row>
    <row r="283" spans="1:6" x14ac:dyDescent="0.25">
      <c r="A283" s="7"/>
      <c r="B283" s="8"/>
      <c r="C283" s="9"/>
      <c r="D283" s="8"/>
      <c r="E283" s="6"/>
      <c r="F283" s="6"/>
    </row>
    <row r="284" spans="1:6" x14ac:dyDescent="0.25">
      <c r="A284" s="7"/>
      <c r="B284" s="8"/>
      <c r="C284" s="9"/>
      <c r="D284" s="8"/>
      <c r="E284" s="6"/>
      <c r="F284" s="6"/>
    </row>
    <row r="285" spans="1:6" x14ac:dyDescent="0.25">
      <c r="A285" s="7"/>
      <c r="B285" s="8"/>
      <c r="C285" s="9"/>
      <c r="D285" s="8"/>
      <c r="E285" s="6"/>
      <c r="F285" s="6"/>
    </row>
    <row r="286" spans="1:6" x14ac:dyDescent="0.25">
      <c r="A286" s="7"/>
      <c r="B286" s="8"/>
      <c r="C286" s="9"/>
      <c r="D286" s="8"/>
      <c r="E286" s="6"/>
      <c r="F286" s="6"/>
    </row>
    <row r="287" spans="1:6" x14ac:dyDescent="0.25">
      <c r="A287" s="7"/>
      <c r="B287" s="8"/>
      <c r="C287" s="9"/>
      <c r="D287" s="8"/>
      <c r="E287" s="6"/>
      <c r="F287" s="6"/>
    </row>
    <row r="288" spans="1:6" x14ac:dyDescent="0.25">
      <c r="A288" s="7"/>
      <c r="B288" s="8"/>
      <c r="C288" s="9"/>
      <c r="D288" s="8"/>
      <c r="E288" s="6"/>
      <c r="F288" s="6"/>
    </row>
    <row r="289" spans="1:6" x14ac:dyDescent="0.25">
      <c r="A289" s="7"/>
      <c r="B289" s="8"/>
      <c r="C289" s="9"/>
      <c r="D289" s="8"/>
      <c r="E289" s="6"/>
      <c r="F289" s="6"/>
    </row>
    <row r="290" spans="1:6" x14ac:dyDescent="0.25">
      <c r="A290" s="7"/>
      <c r="B290" s="8"/>
      <c r="C290" s="9"/>
      <c r="D290" s="8"/>
      <c r="E290" s="6"/>
      <c r="F290" s="6"/>
    </row>
    <row r="291" spans="1:6" x14ac:dyDescent="0.25">
      <c r="A291" s="7"/>
      <c r="B291" s="8"/>
      <c r="C291" s="9"/>
      <c r="D291" s="8"/>
      <c r="E291" s="6"/>
      <c r="F291" s="6"/>
    </row>
    <row r="292" spans="1:6" x14ac:dyDescent="0.25">
      <c r="A292" s="7"/>
      <c r="B292" s="8"/>
      <c r="C292" s="9"/>
      <c r="D292" s="8"/>
      <c r="E292" s="6"/>
      <c r="F292" s="6"/>
    </row>
    <row r="293" spans="1:6" x14ac:dyDescent="0.25">
      <c r="A293" s="7"/>
      <c r="B293" s="8"/>
      <c r="C293" s="9"/>
      <c r="D293" s="8"/>
      <c r="E293" s="6"/>
      <c r="F293" s="6"/>
    </row>
    <row r="294" spans="1:6" x14ac:dyDescent="0.25">
      <c r="A294" s="7"/>
      <c r="B294" s="8"/>
      <c r="C294" s="9"/>
      <c r="D294" s="8"/>
      <c r="E294" s="6"/>
      <c r="F294" s="6"/>
    </row>
    <row r="295" spans="1:6" x14ac:dyDescent="0.25">
      <c r="A295" s="7"/>
      <c r="B295" s="8"/>
      <c r="C295" s="9"/>
      <c r="D295" s="8"/>
      <c r="E295" s="6"/>
      <c r="F295" s="6"/>
    </row>
    <row r="296" spans="1:6" x14ac:dyDescent="0.25">
      <c r="A296" s="7"/>
      <c r="B296" s="8"/>
      <c r="C296" s="9"/>
      <c r="D296" s="8"/>
      <c r="E296" s="6"/>
      <c r="F296" s="6"/>
    </row>
    <row r="297" spans="1:6" x14ac:dyDescent="0.25">
      <c r="A297" s="7"/>
      <c r="B297" s="8"/>
      <c r="C297" s="9"/>
      <c r="D297" s="8"/>
      <c r="E297" s="6"/>
      <c r="F297" s="6"/>
    </row>
    <row r="298" spans="1:6" x14ac:dyDescent="0.25">
      <c r="A298" s="7"/>
      <c r="B298" s="8"/>
      <c r="C298" s="9"/>
      <c r="D298" s="8"/>
      <c r="E298" s="6"/>
      <c r="F298" s="6"/>
    </row>
    <row r="299" spans="1:6" x14ac:dyDescent="0.25">
      <c r="A299" s="7"/>
      <c r="B299" s="8"/>
      <c r="C299" s="9"/>
      <c r="D299" s="8"/>
      <c r="E299" s="6"/>
      <c r="F299" s="6"/>
    </row>
    <row r="300" spans="1:6" x14ac:dyDescent="0.25">
      <c r="A300" s="13"/>
      <c r="B300" s="14"/>
      <c r="C300" s="15"/>
      <c r="D300" s="14"/>
      <c r="E300" s="16"/>
      <c r="F300" s="16"/>
    </row>
    <row r="301" spans="1:6" x14ac:dyDescent="0.25">
      <c r="A301" s="7"/>
      <c r="B301" s="8"/>
      <c r="C301" s="9"/>
      <c r="D301" s="8"/>
      <c r="E301" s="6"/>
      <c r="F301" s="6"/>
    </row>
    <row r="302" spans="1:6" x14ac:dyDescent="0.25">
      <c r="A302" s="7"/>
      <c r="B302" s="8"/>
      <c r="C302" s="9"/>
      <c r="D302" s="8"/>
      <c r="E302" s="6"/>
      <c r="F302" s="6"/>
    </row>
    <row r="303" spans="1:6" x14ac:dyDescent="0.25">
      <c r="A303" s="7"/>
      <c r="B303" s="8"/>
      <c r="C303" s="9"/>
      <c r="D303" s="8"/>
      <c r="E303" s="6"/>
      <c r="F303" s="6"/>
    </row>
    <row r="304" spans="1:6" x14ac:dyDescent="0.25">
      <c r="A304" s="7"/>
      <c r="B304" s="8"/>
      <c r="C304" s="9"/>
      <c r="D304" s="8"/>
      <c r="E304" s="6"/>
      <c r="F304" s="6"/>
    </row>
  </sheetData>
  <sheetProtection sheet="1" objects="1" scenarios="1"/>
  <mergeCells count="2">
    <mergeCell ref="A5:F5"/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Produtos Infantis</vt:lpstr>
      <vt:lpstr>Dados</vt:lpstr>
      <vt:lpstr>Reposição de estoque</vt:lpstr>
      <vt:lpstr>'Reposição de estoque'!Area_de_extracao</vt:lpstr>
      <vt:lpstr>'Reposição de estoque'!Criterios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Flavio Moreira</cp:lastModifiedBy>
  <cp:lastPrinted>2019-10-11T14:32:55Z</cp:lastPrinted>
  <dcterms:created xsi:type="dcterms:W3CDTF">2019-10-09T14:30:21Z</dcterms:created>
  <dcterms:modified xsi:type="dcterms:W3CDTF">2023-02-06T18:54:19Z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